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530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nkajmahur\source\repos\PankajMahur\YCompany\YCompanyClaimProcessing\"/>
    </mc:Choice>
  </mc:AlternateContent>
  <xr:revisionPtr revIDLastSave="0" documentId="13_ncr:1_{9323EF88-3754-424D-B074-F5A4E082D648}" xr6:coauthVersionLast="46" xr6:coauthVersionMax="46" xr10:uidLastSave="{00000000-0000-0000-0000-000000000000}"/>
  <workbookProtection workbookAlgorithmName="SHA-512" workbookHashValue="wzFoNzfVdL4Dmi+OGf0QVZyL3cjNKyvkR4xrmj9yq6Nei1SEI13Qf7QZ6Sk+CuW13o41oCxG+H2FZpbHK7JX0Q==" workbookSaltValue="28P0ZPqQNJMHt9isURrkZA==" workbookSpinCount="100000" lockStructure="1"/>
  <bookViews>
    <workbookView xWindow="-108" yWindow="-108" windowWidth="23256" windowHeight="12576" tabRatio="340" firstSheet="1" activeTab="1" xr2:uid="{00000000-000D-0000-FFFF-FFFF00000000}"/>
  </bookViews>
  <sheets>
    <sheet name="Lists" sheetId="4" state="hidden" r:id="rId1"/>
    <sheet name="Estimation" sheetId="2" r:id="rId2"/>
    <sheet name="Schedule" sheetId="5" r:id="rId3"/>
    <sheet name="RoughWork" sheetId="7" r:id="rId4"/>
    <sheet name="Help" sheetId="6" r:id="rId5"/>
    <sheet name="FAQs" sheetId="8" r:id="rId6"/>
  </sheets>
  <functionGroups builtInGroupCount="19"/>
  <definedNames>
    <definedName name="ACTIVITY_RANGE">Estimation!$428:$428</definedName>
    <definedName name="AS_DEV_EFFORT">Estimation!$P$318</definedName>
    <definedName name="AS_DURATION_EFFORT">Estimation!$P$319</definedName>
    <definedName name="AS_MANUAL_DURATION_EFFORT">Estimation!$U$320</definedName>
    <definedName name="AUTOMATED_END_DATE">Estimation!$P$294</definedName>
    <definedName name="BUFFER_TYPES_LIST">Lists!$B$45:$B$48</definedName>
    <definedName name="BUFFERS_BY_TYPE">Estimation!$N$353:$O$355</definedName>
    <definedName name="CHOSEN_CURRENCY">Estimation!$O$312</definedName>
    <definedName name="CLIENT_NAME">Estimation!$O$305</definedName>
    <definedName name="COMPACT_WBS">Estimation!$L$10:$T$255</definedName>
    <definedName name="COPY_TYPE">Estimation!$R$9</definedName>
    <definedName name="CURRENCIES_LIST">Lists!$B$27:$B$29</definedName>
    <definedName name="CUSTOM_PERCENT">Estimation!$T$5</definedName>
    <definedName name="DESIGN_COST">Estimation!$W$280</definedName>
    <definedName name="DESIGN_EFFORT">Estimation!$O$280</definedName>
    <definedName name="DESIGN_RANGE">Estimation!$L$65:$AC$95</definedName>
    <definedName name="DESIGN_TA_COUNT">Estimation!$R$290</definedName>
    <definedName name="DESIGN_TA_PERCENT">Estimation!$R$280</definedName>
    <definedName name="DEV_COST">Estimation!$W$281</definedName>
    <definedName name="DEV_DEV_COUNT">Estimation!$T$291</definedName>
    <definedName name="DEV_DEV_PERCENT">Estimation!$T$281</definedName>
    <definedName name="DEV_EFFORT">Estimation!$O$281</definedName>
    <definedName name="DEV_RANGE">Estimation!$L$96:$AC$188</definedName>
    <definedName name="DURATION">Estimation!$P$295</definedName>
    <definedName name="EXTRA_FOR_H">Estimation!$O$340</definedName>
    <definedName name="EXTRAS_ARRAY">Estimation!$N$345:$O$350</definedName>
    <definedName name="EXTRAS_LIST">Estimation!$N$345:$N$350</definedName>
    <definedName name="FBS">Estimation!$L$257</definedName>
    <definedName name="FBS_FORMAT">Estimation!$S$262</definedName>
    <definedName name="FBS_INSERT_AT">Estimation!$M$268:$P$268</definedName>
    <definedName name="FBS_LINK">Estimation!$T$262</definedName>
    <definedName name="FBS_RANGE">Estimation!$M$263:$P$269</definedName>
    <definedName name="FULL_WBS">Estimation!$L$10:$AC$255</definedName>
    <definedName name="INCLUDE_OPTIONALS_LIST">Lists!$B$58:$B$59</definedName>
    <definedName name="IS_KEY_OPP">Estimation!$O$310</definedName>
    <definedName name="LESS_FOR_L">Estimation!$O$341</definedName>
    <definedName name="MANUAL_DURATION">Estimation!$P$296</definedName>
    <definedName name="MANUAL_END_DATE">Schedule!$L$1</definedName>
    <definedName name="MAX_EFFORT_PERCENT">Estimation!$P$315</definedName>
    <definedName name="MIN_EFFORT_PERCENT">Estimation!$O$315</definedName>
    <definedName name="MODULE_RANGE">Estimation!$432:$432</definedName>
    <definedName name="NOT_IN_COMPACT">Estimation!$O:$W</definedName>
    <definedName name="OTHER_COST">Estimation!$W$284</definedName>
    <definedName name="OTHER_EFFORT">Estimation!$O$284</definedName>
    <definedName name="OTHER_TL_COUNT">Estimation!$S$294</definedName>
    <definedName name="OTHER_TL_PERCENT">Estimation!$S$284</definedName>
    <definedName name="OTHERS_RANGE">Estimation!$L$248:$AC$254</definedName>
    <definedName name="PLATFORM">Estimation!$O$307</definedName>
    <definedName name="PLATFORMS_LIST">Lists!$B$38:$B$42</definedName>
    <definedName name="_xlnm.Print_Area" localSheetId="1">Estimation!$A$1:$AC$301</definedName>
    <definedName name="PROJECT_NAME">Estimation!$O$306</definedName>
    <definedName name="PROJECT_TYPE">Estimation!$O$308</definedName>
    <definedName name="PROJECT_TYPES_LIST">Lists!$B$32:$B$35</definedName>
    <definedName name="QA_COST">Estimation!$W$282</definedName>
    <definedName name="QA_EFFORT">Estimation!$O$282</definedName>
    <definedName name="QA_RANGE">Estimation!$L$189:$AC$224</definedName>
    <definedName name="REGIONS_LIST">Lists!$B$19:$B$24</definedName>
    <definedName name="REQ_BA_COUNT">Estimation!$Q$289</definedName>
    <definedName name="REQ_BA_PERCENT">Estimation!$Q$279</definedName>
    <definedName name="REQ_COST">Estimation!$W$279</definedName>
    <definedName name="REQ_EFFORT">Estimation!$O$279</definedName>
    <definedName name="REQ_RANGE">Estimation!$L$12:$AC$64</definedName>
    <definedName name="RFP_NAME">Estimation!$O$309</definedName>
    <definedName name="ROLES_LIST">Lists!$B$8:$B$16</definedName>
    <definedName name="SALES_CALL_SCALE_ARRAY">Lists!$B$51:$C$55</definedName>
    <definedName name="SALES_CALL_SCALE_LIST">Lists!$B$51:$B$55</definedName>
    <definedName name="SALES_DECISION_TABLE">Estimation!$P$345:$P$346</definedName>
    <definedName name="SECTION_RANGE">Estimation!$424:$430</definedName>
    <definedName name="START_DATE">Estimation!$O$289</definedName>
    <definedName name="TASK_RANGE">Estimation!$426:$429</definedName>
    <definedName name="TEMPLATE_NAME">Estimation!$G$3</definedName>
    <definedName name="TEMPLATE_SECTION">Estimation!$423:$433</definedName>
    <definedName name="TEMPLATE_VER">Estimation!$K$3</definedName>
    <definedName name="TESTING_QA_COUNT">Estimation!$U$292</definedName>
    <definedName name="TESTING_QA_PERCENT">Estimation!$U$282</definedName>
    <definedName name="TOTAL_COST">Estimation!$W$285</definedName>
    <definedName name="TOTAL_EFFORT">Estimation!$O$285</definedName>
    <definedName name="Total_FRs">Estimation!$Q$23</definedName>
    <definedName name="Total_Screens">Estimation!$P$62</definedName>
    <definedName name="Total_Test_Cases">Estimation!$P$201</definedName>
    <definedName name="Total_Use_Cases">Estimation!$P$43</definedName>
    <definedName name="TOTAL_WEEKS">Estimation!$P$285</definedName>
    <definedName name="UAT_COST">Estimation!$W$283</definedName>
    <definedName name="UAT_DEV_COUNT">Estimation!$T$293</definedName>
    <definedName name="UAT_DEV_PERCENT">Estimation!$T$283</definedName>
    <definedName name="UAT_EFFORT">Estimation!$O$283</definedName>
    <definedName name="UAT_RANGE">Estimation!$L$225:$AC$247</definedName>
    <definedName name="YES_NO_LIST">Lists!$B$3:$B$5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186" i="2" l="1"/>
  <c r="AA186" i="2" s="1"/>
  <c r="S186" i="2" s="1"/>
  <c r="AD186" i="2" s="1"/>
  <c r="Y180" i="2"/>
  <c r="AA180" i="2" s="1"/>
  <c r="S180" i="2" s="1"/>
  <c r="AD178" i="2"/>
  <c r="Y175" i="2"/>
  <c r="AA175" i="2" s="1"/>
  <c r="S175" i="2" s="1"/>
  <c r="AD173" i="2"/>
  <c r="Y171" i="2"/>
  <c r="AA171" i="2" s="1"/>
  <c r="S171" i="2" s="1"/>
  <c r="AD169" i="2"/>
  <c r="Y157" i="2"/>
  <c r="AA157" i="2" s="1"/>
  <c r="S157" i="2" s="1"/>
  <c r="AD155" i="2"/>
  <c r="AD163" i="2"/>
  <c r="Y166" i="2"/>
  <c r="AA166" i="2" s="1"/>
  <c r="S166" i="2" s="1"/>
  <c r="AD164" i="2"/>
  <c r="AD168" i="2"/>
  <c r="AD177" i="2"/>
  <c r="Y161" i="2"/>
  <c r="AA161" i="2" s="1"/>
  <c r="S161" i="2" s="1"/>
  <c r="AD159" i="2"/>
  <c r="AD180" i="2" l="1"/>
  <c r="T178" i="2"/>
  <c r="T173" i="2"/>
  <c r="AD175" i="2"/>
  <c r="AD171" i="2"/>
  <c r="T169" i="2"/>
  <c r="AD157" i="2"/>
  <c r="T155" i="2"/>
  <c r="T164" i="2"/>
  <c r="AD166" i="2"/>
  <c r="AD161" i="2"/>
  <c r="T159" i="2"/>
  <c r="S168" i="2"/>
  <c r="S163" i="2"/>
  <c r="Y153" i="2" l="1"/>
  <c r="AA153" i="2" s="1"/>
  <c r="S153" i="2" s="1"/>
  <c r="AD151" i="2"/>
  <c r="Y149" i="2"/>
  <c r="AA149" i="2" s="1"/>
  <c r="S149" i="2" s="1"/>
  <c r="AD147" i="2"/>
  <c r="Y139" i="2"/>
  <c r="AA139" i="2" s="1"/>
  <c r="S139" i="2" s="1"/>
  <c r="AD139" i="2" s="1"/>
  <c r="Y138" i="2"/>
  <c r="AA138" i="2" s="1"/>
  <c r="S138" i="2" s="1"/>
  <c r="AD138" i="2" s="1"/>
  <c r="Y137" i="2"/>
  <c r="AA137" i="2" s="1"/>
  <c r="S137" i="2" s="1"/>
  <c r="AD135" i="2"/>
  <c r="AD146" i="2"/>
  <c r="Y144" i="2"/>
  <c r="AA144" i="2" s="1"/>
  <c r="S144" i="2" s="1"/>
  <c r="AD144" i="2" s="1"/>
  <c r="Y143" i="2"/>
  <c r="AA143" i="2" s="1"/>
  <c r="S143" i="2" s="1"/>
  <c r="AD141" i="2"/>
  <c r="AD134" i="2"/>
  <c r="Y128" i="2"/>
  <c r="AA128" i="2" s="1"/>
  <c r="S128" i="2" s="1"/>
  <c r="AD126" i="2"/>
  <c r="Y132" i="2"/>
  <c r="AA132" i="2" s="1"/>
  <c r="S132" i="2" s="1"/>
  <c r="AD130" i="2"/>
  <c r="Y124" i="2"/>
  <c r="AA124" i="2" s="1"/>
  <c r="S124" i="2" s="1"/>
  <c r="AD122" i="2"/>
  <c r="Y120" i="2"/>
  <c r="AA120" i="2" s="1"/>
  <c r="S120" i="2" s="1"/>
  <c r="AD118" i="2"/>
  <c r="Y116" i="2"/>
  <c r="AA116" i="2" s="1"/>
  <c r="S116" i="2" s="1"/>
  <c r="AD116" i="2" s="1"/>
  <c r="Y115" i="2"/>
  <c r="AA115" i="2" s="1"/>
  <c r="S115" i="2" s="1"/>
  <c r="AD113" i="2"/>
  <c r="Y76" i="2"/>
  <c r="AA76" i="2" s="1"/>
  <c r="S76" i="2" s="1"/>
  <c r="AD76" i="2" s="1"/>
  <c r="Y75" i="2"/>
  <c r="AA75" i="2" s="1"/>
  <c r="S75" i="2" s="1"/>
  <c r="AD75" i="2" s="1"/>
  <c r="AD153" i="2" l="1"/>
  <c r="T151" i="2"/>
  <c r="AD149" i="2"/>
  <c r="T147" i="2"/>
  <c r="T135" i="2"/>
  <c r="AD137" i="2"/>
  <c r="AD143" i="2"/>
  <c r="T141" i="2"/>
  <c r="AD128" i="2"/>
  <c r="T126" i="2"/>
  <c r="T130" i="2"/>
  <c r="AD132" i="2"/>
  <c r="T122" i="2"/>
  <c r="AD124" i="2"/>
  <c r="AD120" i="2"/>
  <c r="T118" i="2"/>
  <c r="T113" i="2"/>
  <c r="AD115" i="2"/>
  <c r="S146" i="2"/>
  <c r="S134" i="2"/>
  <c r="Y222" i="2" l="1"/>
  <c r="AA222" i="2" s="1"/>
  <c r="S222" i="2" s="1"/>
  <c r="AD222" i="2" s="1"/>
  <c r="Y221" i="2"/>
  <c r="AA221" i="2" s="1"/>
  <c r="S221" i="2" s="1"/>
  <c r="AD221" i="2" s="1"/>
  <c r="R220" i="2" l="1"/>
  <c r="R219" i="2"/>
  <c r="X214" i="2"/>
  <c r="X213" i="2"/>
  <c r="AD197" i="2" l="1"/>
  <c r="AD191" i="2"/>
  <c r="Y194" i="2"/>
  <c r="AA194" i="2" s="1"/>
  <c r="S194" i="2" s="1"/>
  <c r="AD192" i="2"/>
  <c r="Y203" i="2"/>
  <c r="AA203" i="2" s="1"/>
  <c r="S203" i="2" s="1"/>
  <c r="AD203" i="2" s="1"/>
  <c r="Y200" i="2"/>
  <c r="AA200" i="2" s="1"/>
  <c r="S200" i="2" s="1"/>
  <c r="AD198" i="2"/>
  <c r="Y59" i="2"/>
  <c r="AA59" i="2" s="1"/>
  <c r="S59" i="2" s="1"/>
  <c r="AD59" i="2" s="1"/>
  <c r="Y60" i="2"/>
  <c r="AA60" i="2" s="1"/>
  <c r="S60" i="2" s="1"/>
  <c r="AD60" i="2" s="1"/>
  <c r="Y62" i="2"/>
  <c r="AA62" i="2" s="1"/>
  <c r="S62" i="2" s="1"/>
  <c r="AD62" i="2" s="1"/>
  <c r="Y50" i="2"/>
  <c r="AA50" i="2" s="1"/>
  <c r="S50" i="2" s="1"/>
  <c r="AD50" i="2" s="1"/>
  <c r="Y51" i="2"/>
  <c r="AA51" i="2" s="1"/>
  <c r="S51" i="2" s="1"/>
  <c r="AD51" i="2" s="1"/>
  <c r="Y52" i="2"/>
  <c r="AA52" i="2" s="1"/>
  <c r="S52" i="2" s="1"/>
  <c r="AD52" i="2" s="1"/>
  <c r="Y53" i="2"/>
  <c r="AA53" i="2" s="1"/>
  <c r="S53" i="2" s="1"/>
  <c r="AD53" i="2" s="1"/>
  <c r="Y54" i="2"/>
  <c r="AA54" i="2" s="1"/>
  <c r="S54" i="2" s="1"/>
  <c r="AD54" i="2" s="1"/>
  <c r="Q43" i="2"/>
  <c r="P43" i="2"/>
  <c r="Y44" i="2"/>
  <c r="AA44" i="2" s="1"/>
  <c r="S44" i="2" s="1"/>
  <c r="AD44" i="2" s="1"/>
  <c r="Y45" i="2"/>
  <c r="AA45" i="2" s="1"/>
  <c r="S45" i="2" s="1"/>
  <c r="AD45" i="2" s="1"/>
  <c r="Y36" i="2"/>
  <c r="AA36" i="2" s="1"/>
  <c r="S36" i="2" s="1"/>
  <c r="AD36" i="2" s="1"/>
  <c r="Y37" i="2"/>
  <c r="AA37" i="2" s="1"/>
  <c r="S37" i="2" s="1"/>
  <c r="AD37" i="2" s="1"/>
  <c r="Y38" i="2"/>
  <c r="AA38" i="2" s="1"/>
  <c r="S38" i="2" s="1"/>
  <c r="AD38" i="2" s="1"/>
  <c r="Y39" i="2"/>
  <c r="AA39" i="2" s="1"/>
  <c r="S39" i="2" s="1"/>
  <c r="AD39" i="2" s="1"/>
  <c r="Y29" i="2"/>
  <c r="AA29" i="2" s="1"/>
  <c r="S29" i="2" s="1"/>
  <c r="AD29" i="2" s="1"/>
  <c r="Y30" i="2"/>
  <c r="AA30" i="2" s="1"/>
  <c r="S30" i="2" s="1"/>
  <c r="AD30" i="2" s="1"/>
  <c r="Y31" i="2"/>
  <c r="AA31" i="2" s="1"/>
  <c r="S31" i="2" s="1"/>
  <c r="AD31" i="2" s="1"/>
  <c r="Y22" i="2"/>
  <c r="AA22" i="2" s="1"/>
  <c r="S22" i="2" s="1"/>
  <c r="AD22" i="2" s="1"/>
  <c r="Y58" i="2"/>
  <c r="AA58" i="2" s="1"/>
  <c r="S58" i="2" s="1"/>
  <c r="AD56" i="2"/>
  <c r="Y49" i="2"/>
  <c r="AA49" i="2" s="1"/>
  <c r="S49" i="2" s="1"/>
  <c r="AD47" i="2"/>
  <c r="AD41" i="2"/>
  <c r="Y35" i="2"/>
  <c r="AA35" i="2" s="1"/>
  <c r="S35" i="2" s="1"/>
  <c r="AD33" i="2"/>
  <c r="Y28" i="2"/>
  <c r="AA28" i="2" s="1"/>
  <c r="S28" i="2" s="1"/>
  <c r="AD26" i="2"/>
  <c r="Y61" i="2" l="1"/>
  <c r="AA61" i="2" s="1"/>
  <c r="S61" i="2" s="1"/>
  <c r="AD61" i="2" s="1"/>
  <c r="Y195" i="2"/>
  <c r="AA195" i="2" s="1"/>
  <c r="S195" i="2" s="1"/>
  <c r="AD195" i="2" s="1"/>
  <c r="AD194" i="2"/>
  <c r="AD200" i="2"/>
  <c r="Y43" i="2"/>
  <c r="AA43" i="2" s="1"/>
  <c r="S43" i="2" s="1"/>
  <c r="T41" i="2" s="1"/>
  <c r="AD58" i="2"/>
  <c r="T47" i="2"/>
  <c r="AD49" i="2"/>
  <c r="T33" i="2"/>
  <c r="AD35" i="2"/>
  <c r="T26" i="2"/>
  <c r="AD28" i="2"/>
  <c r="T56" i="2" l="1"/>
  <c r="Y201" i="2"/>
  <c r="AA201" i="2" s="1"/>
  <c r="S201" i="2" s="1"/>
  <c r="AD201" i="2" s="1"/>
  <c r="Q214" i="2"/>
  <c r="Q213" i="2"/>
  <c r="Q208" i="2"/>
  <c r="T192" i="2"/>
  <c r="Y202" i="2"/>
  <c r="AA202" i="2" s="1"/>
  <c r="S202" i="2" s="1"/>
  <c r="AD202" i="2" s="1"/>
  <c r="AD43" i="2"/>
  <c r="T198" i="2" l="1"/>
  <c r="R277" i="2" l="1"/>
  <c r="S277" i="2"/>
  <c r="T277" i="2"/>
  <c r="U277" i="2"/>
  <c r="V277" i="2"/>
  <c r="Q277" i="2"/>
  <c r="S432" i="2"/>
  <c r="AD250" i="2" l="1"/>
  <c r="Y18" i="2" l="1"/>
  <c r="AA18" i="2" s="1"/>
  <c r="S18" i="2" s="1"/>
  <c r="AD18" i="2" s="1"/>
  <c r="Y243" i="2" l="1"/>
  <c r="AA243" i="2" s="1"/>
  <c r="S243" i="2" s="1"/>
  <c r="AD243" i="2" s="1"/>
  <c r="Y244" i="2"/>
  <c r="AA244" i="2" s="1"/>
  <c r="S244" i="2" s="1"/>
  <c r="AD244" i="2" s="1"/>
  <c r="Y245" i="2"/>
  <c r="AA245" i="2" s="1"/>
  <c r="S245" i="2" s="1"/>
  <c r="AD245" i="2" s="1"/>
  <c r="Y242" i="2"/>
  <c r="AA242" i="2" s="1"/>
  <c r="S242" i="2" s="1"/>
  <c r="AD240" i="2"/>
  <c r="Y238" i="2"/>
  <c r="AA238" i="2" s="1"/>
  <c r="S238" i="2" s="1"/>
  <c r="AD236" i="2"/>
  <c r="Y234" i="2"/>
  <c r="AA234" i="2" s="1"/>
  <c r="S234" i="2" s="1"/>
  <c r="AD232" i="2"/>
  <c r="Y230" i="2"/>
  <c r="AA230" i="2" s="1"/>
  <c r="S230" i="2" s="1"/>
  <c r="AD230" i="2" s="1"/>
  <c r="Y229" i="2"/>
  <c r="AA229" i="2" s="1"/>
  <c r="S229" i="2" s="1"/>
  <c r="AD227" i="2"/>
  <c r="Y219" i="2"/>
  <c r="AA219" i="2" s="1"/>
  <c r="S219" i="2" s="1"/>
  <c r="AD219" i="2" s="1"/>
  <c r="Y220" i="2"/>
  <c r="AA220" i="2" s="1"/>
  <c r="S220" i="2" s="1"/>
  <c r="AD220" i="2" s="1"/>
  <c r="AD217" i="2"/>
  <c r="Y214" i="2"/>
  <c r="AA214" i="2" s="1"/>
  <c r="S214" i="2" s="1"/>
  <c r="AD214" i="2" s="1"/>
  <c r="Y215" i="2"/>
  <c r="AA215" i="2" s="1"/>
  <c r="S215" i="2" s="1"/>
  <c r="AD215" i="2" s="1"/>
  <c r="Y213" i="2"/>
  <c r="AA213" i="2" s="1"/>
  <c r="S213" i="2" s="1"/>
  <c r="AD213" i="2" s="1"/>
  <c r="Y212" i="2"/>
  <c r="AA212" i="2" s="1"/>
  <c r="S212" i="2" s="1"/>
  <c r="AD210" i="2"/>
  <c r="Y208" i="2"/>
  <c r="AA208" i="2" s="1"/>
  <c r="S208" i="2" s="1"/>
  <c r="AD208" i="2" s="1"/>
  <c r="Y207" i="2"/>
  <c r="AA207" i="2" s="1"/>
  <c r="S207" i="2" s="1"/>
  <c r="AD205" i="2"/>
  <c r="AD182" i="2"/>
  <c r="Y108" i="2"/>
  <c r="AA108" i="2" s="1"/>
  <c r="S108" i="2" s="1"/>
  <c r="AD108" i="2" s="1"/>
  <c r="Y109" i="2"/>
  <c r="AA109" i="2" s="1"/>
  <c r="S109" i="2" s="1"/>
  <c r="AD109" i="2" s="1"/>
  <c r="Y110" i="2"/>
  <c r="AA110" i="2" s="1"/>
  <c r="S110" i="2" s="1"/>
  <c r="AD110" i="2" s="1"/>
  <c r="Y101" i="2"/>
  <c r="AA101" i="2" s="1"/>
  <c r="S101" i="2" s="1"/>
  <c r="AD101" i="2" s="1"/>
  <c r="Y102" i="2"/>
  <c r="AA102" i="2" s="1"/>
  <c r="S102" i="2" s="1"/>
  <c r="AD102" i="2" s="1"/>
  <c r="Y103" i="2"/>
  <c r="AA103" i="2" s="1"/>
  <c r="S103" i="2" s="1"/>
  <c r="AD103" i="2" s="1"/>
  <c r="Y88" i="2"/>
  <c r="AA88" i="2" s="1"/>
  <c r="S88" i="2" s="1"/>
  <c r="AD88" i="2" s="1"/>
  <c r="Y89" i="2"/>
  <c r="AA89" i="2" s="1"/>
  <c r="S89" i="2" s="1"/>
  <c r="AD89" i="2" s="1"/>
  <c r="Y90" i="2"/>
  <c r="AA90" i="2" s="1"/>
  <c r="S90" i="2" s="1"/>
  <c r="AD90" i="2" s="1"/>
  <c r="Y91" i="2"/>
  <c r="AA91" i="2" s="1"/>
  <c r="S91" i="2" s="1"/>
  <c r="AD91" i="2" s="1"/>
  <c r="Y92" i="2"/>
  <c r="AA92" i="2" s="1"/>
  <c r="S92" i="2" s="1"/>
  <c r="AD92" i="2" s="1"/>
  <c r="Y93" i="2"/>
  <c r="AA93" i="2" s="1"/>
  <c r="S93" i="2" s="1"/>
  <c r="AD93" i="2" s="1"/>
  <c r="Y83" i="2"/>
  <c r="AA83" i="2" s="1"/>
  <c r="S83" i="2" s="1"/>
  <c r="AD83" i="2" s="1"/>
  <c r="Y82" i="2"/>
  <c r="AA82" i="2" s="1"/>
  <c r="S82" i="2" s="1"/>
  <c r="AD82" i="2" s="1"/>
  <c r="Y81" i="2"/>
  <c r="AA81" i="2" s="1"/>
  <c r="S81" i="2" s="1"/>
  <c r="AD81" i="2" s="1"/>
  <c r="Y70" i="2"/>
  <c r="AA70" i="2" s="1"/>
  <c r="S70" i="2" s="1"/>
  <c r="AD70" i="2" s="1"/>
  <c r="Y87" i="2"/>
  <c r="AA87" i="2" s="1"/>
  <c r="S87" i="2" s="1"/>
  <c r="AD85" i="2"/>
  <c r="Y80" i="2"/>
  <c r="AA80" i="2" s="1"/>
  <c r="S80" i="2" s="1"/>
  <c r="AD78" i="2"/>
  <c r="Y74" i="2"/>
  <c r="AA74" i="2" s="1"/>
  <c r="S74" i="2" s="1"/>
  <c r="AD72" i="2"/>
  <c r="Y24" i="2"/>
  <c r="AA24" i="2" s="1"/>
  <c r="S24" i="2" s="1"/>
  <c r="AD24" i="2" s="1"/>
  <c r="Y23" i="2"/>
  <c r="AA23" i="2" s="1"/>
  <c r="S23" i="2" s="1"/>
  <c r="AD20" i="2"/>
  <c r="AD242" i="2" l="1"/>
  <c r="T240" i="2"/>
  <c r="AD238" i="2"/>
  <c r="AD234" i="2"/>
  <c r="AD229" i="2"/>
  <c r="T227" i="2"/>
  <c r="T217" i="2"/>
  <c r="AD212" i="2"/>
  <c r="T210" i="2"/>
  <c r="AD207" i="2"/>
  <c r="T205" i="2"/>
  <c r="AD87" i="2"/>
  <c r="T85" i="2"/>
  <c r="AD80" i="2"/>
  <c r="T78" i="2"/>
  <c r="AD74" i="2"/>
  <c r="T72" i="2"/>
  <c r="AD23" i="2"/>
  <c r="T20" i="2"/>
  <c r="S197" i="2"/>
  <c r="S191" i="2"/>
  <c r="AD112" i="2" l="1"/>
  <c r="Y107" i="2"/>
  <c r="AA107" i="2" s="1"/>
  <c r="S107" i="2" s="1"/>
  <c r="AD105" i="2"/>
  <c r="Y185" i="2"/>
  <c r="AA185" i="2" s="1"/>
  <c r="S185" i="2" s="1"/>
  <c r="AD183" i="2"/>
  <c r="Y100" i="2"/>
  <c r="AA100" i="2" s="1"/>
  <c r="S100" i="2" s="1"/>
  <c r="AD98" i="2"/>
  <c r="AD107" i="2" l="1"/>
  <c r="T105" i="2"/>
  <c r="AD185" i="2"/>
  <c r="T183" i="2"/>
  <c r="T98" i="2"/>
  <c r="AD100" i="2"/>
  <c r="S112" i="2"/>
  <c r="S182" i="2"/>
  <c r="Y69" i="2" l="1"/>
  <c r="AA69" i="2" s="1"/>
  <c r="S69" i="2" s="1"/>
  <c r="AD67" i="2"/>
  <c r="Y17" i="2"/>
  <c r="AA17" i="2" s="1"/>
  <c r="S17" i="2" s="1"/>
  <c r="AD17" i="2" s="1"/>
  <c r="Y16" i="2"/>
  <c r="AA16" i="2" s="1"/>
  <c r="S16" i="2" s="1"/>
  <c r="AD14" i="2"/>
  <c r="L14" i="2"/>
  <c r="AD69" i="2" l="1"/>
  <c r="T67" i="2"/>
  <c r="L15" i="2"/>
  <c r="AD16" i="2"/>
  <c r="T14" i="2"/>
  <c r="L20" i="2"/>
  <c r="L21" i="2" l="1"/>
  <c r="M22" i="2" s="1"/>
  <c r="M16" i="2"/>
  <c r="M17" i="2" s="1"/>
  <c r="M18" i="2" s="1"/>
  <c r="B284" i="2"/>
  <c r="B283" i="2"/>
  <c r="B282" i="2"/>
  <c r="B281" i="2"/>
  <c r="B280" i="2"/>
  <c r="B279" i="2"/>
  <c r="AD432" i="2"/>
  <c r="AD426" i="2"/>
  <c r="L26" i="2"/>
  <c r="L27" i="2" l="1"/>
  <c r="M23" i="2"/>
  <c r="P262" i="2"/>
  <c r="L33" i="2"/>
  <c r="L34" i="2" l="1"/>
  <c r="M28" i="2"/>
  <c r="M29" i="2" s="1"/>
  <c r="M24" i="2"/>
  <c r="B2" i="6"/>
  <c r="B2" i="8"/>
  <c r="AB302" i="2"/>
  <c r="L41" i="2"/>
  <c r="M30" i="2" l="1"/>
  <c r="M31" i="2" s="1"/>
  <c r="L42" i="2"/>
  <c r="M35" i="2"/>
  <c r="Y428" i="2"/>
  <c r="L47" i="2"/>
  <c r="M36" i="2" l="1"/>
  <c r="M37" i="2" s="1"/>
  <c r="M38" i="2" s="1"/>
  <c r="M39" i="2" s="1"/>
  <c r="L48" i="2"/>
  <c r="M43" i="2"/>
  <c r="C55" i="4"/>
  <c r="C54" i="4"/>
  <c r="C52" i="4"/>
  <c r="C51" i="4"/>
  <c r="L56" i="2"/>
  <c r="M44" i="2" l="1"/>
  <c r="M45" i="2" s="1"/>
  <c r="L57" i="2"/>
  <c r="M49" i="2"/>
  <c r="M50" i="2" s="1"/>
  <c r="T296" i="2"/>
  <c r="P296" i="2"/>
  <c r="M51" i="2" l="1"/>
  <c r="M52" i="2" s="1"/>
  <c r="M53" i="2" s="1"/>
  <c r="M54" i="2" s="1"/>
  <c r="M58" i="2"/>
  <c r="AA428" i="2"/>
  <c r="S428" i="2" s="1"/>
  <c r="C1" i="5"/>
  <c r="N294" i="2"/>
  <c r="B11" i="5" s="1"/>
  <c r="M294" i="2"/>
  <c r="N293" i="2"/>
  <c r="B10" i="5" s="1"/>
  <c r="M293" i="2"/>
  <c r="N292" i="2"/>
  <c r="B9" i="5" s="1"/>
  <c r="M292" i="2"/>
  <c r="N291" i="2"/>
  <c r="B8" i="5" s="1"/>
  <c r="M291" i="2"/>
  <c r="N290" i="2"/>
  <c r="B7" i="5" s="1"/>
  <c r="M290" i="2"/>
  <c r="N289" i="2"/>
  <c r="B6" i="5" s="1"/>
  <c r="M289" i="2"/>
  <c r="N284" i="2"/>
  <c r="N283" i="2"/>
  <c r="N282" i="2"/>
  <c r="N281" i="2"/>
  <c r="N280" i="2"/>
  <c r="N279" i="2"/>
  <c r="M284" i="2"/>
  <c r="M283" i="2"/>
  <c r="M282" i="2"/>
  <c r="M281" i="2"/>
  <c r="M280" i="2"/>
  <c r="M279" i="2"/>
  <c r="L67" i="2"/>
  <c r="M59" i="2" l="1"/>
  <c r="M60" i="2" s="1"/>
  <c r="M61" i="2" s="1"/>
  <c r="M62" i="2" s="1"/>
  <c r="L68" i="2"/>
  <c r="T426" i="2"/>
  <c r="AD428" i="2"/>
  <c r="L72" i="2"/>
  <c r="L73" i="2" l="1"/>
  <c r="M69" i="2"/>
  <c r="M70" i="2" s="1"/>
  <c r="AD424" i="2"/>
  <c r="L78" i="2"/>
  <c r="L79" i="2" l="1"/>
  <c r="M74" i="2"/>
  <c r="M75" i="2" s="1"/>
  <c r="M76" i="2" s="1"/>
  <c r="G3" i="5"/>
  <c r="K3" i="5" s="1"/>
  <c r="O3" i="5" s="1"/>
  <c r="S3" i="5" s="1"/>
  <c r="W3" i="5" s="1"/>
  <c r="AA3" i="5" s="1"/>
  <c r="AE3" i="5" s="1"/>
  <c r="AI3" i="5" s="1"/>
  <c r="C4" i="5"/>
  <c r="D4" i="5" s="1"/>
  <c r="E4" i="5" s="1"/>
  <c r="F4" i="5" s="1"/>
  <c r="G4" i="5" s="1"/>
  <c r="H4" i="5" s="1"/>
  <c r="I4" i="5" s="1"/>
  <c r="J4" i="5" s="1"/>
  <c r="K4" i="5" s="1"/>
  <c r="L4" i="5" s="1"/>
  <c r="M4" i="5" s="1"/>
  <c r="N4" i="5" s="1"/>
  <c r="O4" i="5" s="1"/>
  <c r="P4" i="5" s="1"/>
  <c r="Q4" i="5" s="1"/>
  <c r="R4" i="5" s="1"/>
  <c r="S4" i="5" s="1"/>
  <c r="T4" i="5" s="1"/>
  <c r="U4" i="5" s="1"/>
  <c r="V4" i="5" s="1"/>
  <c r="W4" i="5" s="1"/>
  <c r="X4" i="5" s="1"/>
  <c r="Y4" i="5" s="1"/>
  <c r="Z4" i="5" s="1"/>
  <c r="AA4" i="5" s="1"/>
  <c r="AB4" i="5" s="1"/>
  <c r="AC4" i="5" s="1"/>
  <c r="AD4" i="5" s="1"/>
  <c r="AE4" i="5" s="1"/>
  <c r="AF4" i="5" s="1"/>
  <c r="AG4" i="5" s="1"/>
  <c r="AH4" i="5" s="1"/>
  <c r="AI4" i="5" s="1"/>
  <c r="AJ4" i="5" s="1"/>
  <c r="AK4" i="5" s="1"/>
  <c r="AL4" i="5" s="1"/>
  <c r="L85" i="2"/>
  <c r="L86" i="2" l="1"/>
  <c r="M80" i="2"/>
  <c r="M81" i="2" s="1"/>
  <c r="M82" i="2" s="1"/>
  <c r="M83" i="2" s="1"/>
  <c r="N355" i="2"/>
  <c r="N354" i="2"/>
  <c r="N353" i="2"/>
  <c r="W277" i="2"/>
  <c r="B277" i="2" s="1"/>
  <c r="M87" i="2" l="1"/>
  <c r="M88" i="2" s="1"/>
  <c r="M89" i="2" s="1"/>
  <c r="M90" i="2" s="1"/>
  <c r="M91" i="2" s="1"/>
  <c r="M92" i="2" s="1"/>
  <c r="M93" i="2" s="1"/>
  <c r="M3" i="2"/>
  <c r="L98" i="2"/>
  <c r="L99" i="2" l="1"/>
  <c r="N3" i="2"/>
  <c r="M100" i="2" l="1"/>
  <c r="M101" i="2" s="1"/>
  <c r="M102" i="2" s="1"/>
  <c r="M103" i="2" s="1"/>
  <c r="S65" i="2"/>
  <c r="O280" i="2" s="1"/>
  <c r="P280" i="2" s="1"/>
  <c r="S12" i="2"/>
  <c r="O279" i="2" s="1"/>
  <c r="L105" i="2"/>
  <c r="L106" i="2" l="1"/>
  <c r="W280" i="2"/>
  <c r="P279" i="2"/>
  <c r="P289" i="2" s="1"/>
  <c r="O290" i="2" s="1"/>
  <c r="W279" i="2"/>
  <c r="L113" i="2"/>
  <c r="L114" i="2" l="1"/>
  <c r="M107" i="2"/>
  <c r="M108" i="2" s="1"/>
  <c r="M109" i="2" s="1"/>
  <c r="M110" i="2" s="1"/>
  <c r="P290" i="2"/>
  <c r="O291" i="2" s="1"/>
  <c r="L118" i="2"/>
  <c r="L119" i="2" l="1"/>
  <c r="M115" i="2"/>
  <c r="M116" i="2" s="1"/>
  <c r="S424" i="2"/>
  <c r="L122" i="2"/>
  <c r="L123" i="2" l="1"/>
  <c r="M120" i="2"/>
  <c r="L126" i="2"/>
  <c r="L127" i="2" l="1"/>
  <c r="M124" i="2"/>
  <c r="T236" i="2"/>
  <c r="L130" i="2"/>
  <c r="L131" i="2" l="1"/>
  <c r="M128" i="2"/>
  <c r="S189" i="2"/>
  <c r="O282" i="2" s="1"/>
  <c r="T232" i="2"/>
  <c r="S225" i="2" s="1"/>
  <c r="O283" i="2" s="1"/>
  <c r="L135" i="2"/>
  <c r="L136" i="2" l="1"/>
  <c r="M132" i="2"/>
  <c r="W282" i="2"/>
  <c r="P282" i="2"/>
  <c r="P283" i="2"/>
  <c r="W283" i="2"/>
  <c r="L141" i="2"/>
  <c r="L142" i="2" l="1"/>
  <c r="M143" i="2" s="1"/>
  <c r="M144" i="2" s="1"/>
  <c r="M137" i="2"/>
  <c r="M138" i="2" s="1"/>
  <c r="M139" i="2" s="1"/>
  <c r="L147" i="2"/>
  <c r="L148" i="2" l="1"/>
  <c r="L151" i="2"/>
  <c r="L152" i="2" l="1"/>
  <c r="M149" i="2"/>
  <c r="L155" i="2"/>
  <c r="L156" i="2" l="1"/>
  <c r="M153" i="2"/>
  <c r="L159" i="2"/>
  <c r="L160" i="2" l="1"/>
  <c r="M161" i="2" s="1"/>
  <c r="M157" i="2"/>
  <c r="L164" i="2"/>
  <c r="L165" i="2" l="1"/>
  <c r="M166" i="2" s="1"/>
  <c r="L169" i="2"/>
  <c r="L170" i="2" l="1"/>
  <c r="L173" i="2"/>
  <c r="L174" i="2" l="1"/>
  <c r="M171" i="2"/>
  <c r="L178" i="2"/>
  <c r="L179" i="2" l="1"/>
  <c r="M180" i="2" s="1"/>
  <c r="M175" i="2"/>
  <c r="L183" i="2"/>
  <c r="L184" i="2" l="1"/>
  <c r="M185" i="2" l="1"/>
  <c r="M186" i="2" s="1"/>
  <c r="L192" i="2"/>
  <c r="L193" i="2" l="1"/>
  <c r="M194" i="2" s="1"/>
  <c r="M195" i="2" s="1"/>
  <c r="L198" i="2"/>
  <c r="L199" i="2" l="1"/>
  <c r="M200" i="2" s="1"/>
  <c r="M201" i="2" s="1"/>
  <c r="M202" i="2" s="1"/>
  <c r="M203" i="2" s="1"/>
  <c r="L205" i="2"/>
  <c r="L206" i="2" l="1"/>
  <c r="S177" i="2"/>
  <c r="L210" i="2"/>
  <c r="L211" i="2" l="1"/>
  <c r="M212" i="2" s="1"/>
  <c r="M213" i="2" s="1"/>
  <c r="M214" i="2" s="1"/>
  <c r="M215" i="2" s="1"/>
  <c r="M207" i="2"/>
  <c r="M208" i="2" s="1"/>
  <c r="S96" i="2"/>
  <c r="O281" i="2" s="1"/>
  <c r="Y252" i="2" s="1"/>
  <c r="AA252" i="2" s="1"/>
  <c r="S252" i="2" s="1"/>
  <c r="L217" i="2"/>
  <c r="L227" i="2"/>
  <c r="L426" i="2"/>
  <c r="L427" i="2" l="1"/>
  <c r="M428" i="2" s="1"/>
  <c r="L228" i="2"/>
  <c r="L218" i="2"/>
  <c r="M219" i="2" s="1"/>
  <c r="M220" i="2" s="1"/>
  <c r="M221" i="2" s="1"/>
  <c r="M222" i="2" s="1"/>
  <c r="W281" i="2"/>
  <c r="P281" i="2"/>
  <c r="P291" i="2" s="1"/>
  <c r="O292" i="2" s="1"/>
  <c r="T250" i="2"/>
  <c r="S248" i="2" s="1"/>
  <c r="O284" i="2" s="1"/>
  <c r="AD252" i="2"/>
  <c r="T3" i="2" s="1"/>
  <c r="L232" i="2"/>
  <c r="L233" i="2" l="1"/>
  <c r="M229" i="2"/>
  <c r="M230" i="2" s="1"/>
  <c r="P284" i="2"/>
  <c r="P285" i="2" s="1"/>
  <c r="W284" i="2"/>
  <c r="W285" i="2" s="1"/>
  <c r="P270" i="2" s="1"/>
  <c r="O285" i="2"/>
  <c r="P292" i="2"/>
  <c r="O293" i="2" s="1"/>
  <c r="L236" i="2"/>
  <c r="L237" i="2" l="1"/>
  <c r="M234" i="2"/>
  <c r="P293" i="2"/>
  <c r="O294" i="2" s="1"/>
  <c r="P294" i="2" s="1"/>
  <c r="S255" i="2"/>
  <c r="N314" i="2"/>
  <c r="N5" i="2"/>
  <c r="O270" i="2"/>
  <c r="L240" i="2"/>
  <c r="L250" i="2" s="1"/>
  <c r="L251" i="2" l="1"/>
  <c r="M252" i="2" s="1"/>
  <c r="L241" i="2"/>
  <c r="M242" i="2" s="1"/>
  <c r="M243" i="2" s="1"/>
  <c r="M244" i="2" s="1"/>
  <c r="M245" i="2" s="1"/>
  <c r="M238" i="2"/>
  <c r="P295" i="2"/>
  <c r="N6" i="2" s="1"/>
  <c r="T295" i="2"/>
</calcChain>
</file>

<file path=xl/sharedStrings.xml><?xml version="1.0" encoding="utf-8"?>
<sst xmlns="http://schemas.openxmlformats.org/spreadsheetml/2006/main" count="1407" uniqueCount="641">
  <si>
    <t>A</t>
  </si>
  <si>
    <t>Exclude</t>
  </si>
  <si>
    <t>Buffer</t>
  </si>
  <si>
    <t>Name</t>
  </si>
  <si>
    <t>Geography</t>
  </si>
  <si>
    <t>Client Name</t>
  </si>
  <si>
    <t>Yes</t>
  </si>
  <si>
    <t>No</t>
  </si>
  <si>
    <t>BA</t>
  </si>
  <si>
    <t>TA</t>
  </si>
  <si>
    <t>TL</t>
  </si>
  <si>
    <t>QA</t>
  </si>
  <si>
    <t>DEV</t>
  </si>
  <si>
    <t>GD</t>
  </si>
  <si>
    <t>OC</t>
  </si>
  <si>
    <t>PM</t>
  </si>
  <si>
    <t>YES_NO_LIST</t>
  </si>
  <si>
    <t>ROLES_LIST</t>
  </si>
  <si>
    <t>USA</t>
  </si>
  <si>
    <t>Mexico</t>
  </si>
  <si>
    <t>Europe</t>
  </si>
  <si>
    <t>Asia (except India)</t>
  </si>
  <si>
    <t>India</t>
  </si>
  <si>
    <t>-</t>
  </si>
  <si>
    <t>REGIONS_LIST</t>
  </si>
  <si>
    <t>USD</t>
  </si>
  <si>
    <t>Currency</t>
  </si>
  <si>
    <t>Euro</t>
  </si>
  <si>
    <t>CURRENCIES_LIST</t>
  </si>
  <si>
    <t>PDs</t>
  </si>
  <si>
    <t>Project Name</t>
  </si>
  <si>
    <t>Project Type</t>
  </si>
  <si>
    <t>Development</t>
  </si>
  <si>
    <t>Consulting</t>
  </si>
  <si>
    <t>Testing</t>
  </si>
  <si>
    <t>PROJECT_TYPES_LIST</t>
  </si>
  <si>
    <t>Platform</t>
  </si>
  <si>
    <t>PLATFORMS_LIST</t>
  </si>
  <si>
    <t>Web</t>
  </si>
  <si>
    <t>Windows</t>
  </si>
  <si>
    <t>Mobile</t>
  </si>
  <si>
    <t>Enterprise</t>
  </si>
  <si>
    <t>Low</t>
  </si>
  <si>
    <t>Medium</t>
  </si>
  <si>
    <t>BUFFER_TYPES_LIST</t>
  </si>
  <si>
    <t>High</t>
  </si>
  <si>
    <t>H</t>
  </si>
  <si>
    <t>L</t>
  </si>
  <si>
    <t>Notes</t>
  </si>
  <si>
    <t>Discovery / Requirement Analysis</t>
  </si>
  <si>
    <t xml:space="preserve"> (+/-)</t>
  </si>
  <si>
    <t>x N</t>
  </si>
  <si>
    <t>SALES_CALL_SCALE_LIST</t>
  </si>
  <si>
    <t>Maximize</t>
  </si>
  <si>
    <t>Minimize</t>
  </si>
  <si>
    <t>No Change</t>
  </si>
  <si>
    <t>RFP Name</t>
  </si>
  <si>
    <t>Unit</t>
  </si>
  <si>
    <t>Complexity %</t>
  </si>
  <si>
    <t>Effort (PDs)</t>
  </si>
  <si>
    <t>Optional</t>
  </si>
  <si>
    <t>INCLUDE_OPTIONALS_LIST</t>
  </si>
  <si>
    <t>Optionals:</t>
  </si>
  <si>
    <t>Include</t>
  </si>
  <si>
    <t>Calculated</t>
  </si>
  <si>
    <t>High (+)</t>
  </si>
  <si>
    <t>Low (-)</t>
  </si>
  <si>
    <t>Is Key Opp?</t>
  </si>
  <si>
    <t>B</t>
  </si>
  <si>
    <t>C</t>
  </si>
  <si>
    <t>D</t>
  </si>
  <si>
    <t>E</t>
  </si>
  <si>
    <t>System Design, Framework and Test Cases</t>
  </si>
  <si>
    <t>Development and Unit Testing</t>
  </si>
  <si>
    <t>System Testing and Stabilization</t>
  </si>
  <si>
    <t>Deployment, UAT and Documentation</t>
  </si>
  <si>
    <t>Others</t>
  </si>
  <si>
    <t>Complexity impact</t>
  </si>
  <si>
    <t>As Dev Effort %</t>
  </si>
  <si>
    <t>Role-wise rates / effort distribution</t>
  </si>
  <si>
    <t>Add</t>
  </si>
  <si>
    <t>Mark as</t>
  </si>
  <si>
    <t>Tasks</t>
  </si>
  <si>
    <t>F</t>
  </si>
  <si>
    <t>Req</t>
  </si>
  <si>
    <t>Design</t>
  </si>
  <si>
    <t>UAT Etc.</t>
  </si>
  <si>
    <t>Dev.</t>
  </si>
  <si>
    <t>Effort:</t>
  </si>
  <si>
    <r>
      <t>PDs / 1 M</t>
    </r>
    <r>
      <rPr>
        <b/>
        <sz val="11"/>
        <color rgb="FFC00000"/>
        <rFont val="Calibri"/>
        <family val="2"/>
        <scheme val="minor"/>
      </rPr>
      <t>*</t>
    </r>
  </si>
  <si>
    <r>
      <t>M</t>
    </r>
    <r>
      <rPr>
        <b/>
        <sz val="11"/>
        <color rgb="FFC00000"/>
        <rFont val="Calibri"/>
        <family val="2"/>
        <scheme val="minor"/>
      </rPr>
      <t>*</t>
    </r>
  </si>
  <si>
    <t>Start Date</t>
  </si>
  <si>
    <t>click here.</t>
  </si>
  <si>
    <t>Months</t>
  </si>
  <si>
    <t>Weeks</t>
  </si>
  <si>
    <t>End Date</t>
  </si>
  <si>
    <t>Special Unit Names</t>
  </si>
  <si>
    <t>As Duration %</t>
  </si>
  <si>
    <t>S1</t>
  </si>
  <si>
    <t>S2</t>
  </si>
  <si>
    <t>T1</t>
  </si>
  <si>
    <t>T2</t>
  </si>
  <si>
    <t>S3</t>
  </si>
  <si>
    <t>W2</t>
  </si>
  <si>
    <t>W1</t>
  </si>
  <si>
    <t>X</t>
  </si>
  <si>
    <t>Section Name</t>
  </si>
  <si>
    <t>M</t>
  </si>
  <si>
    <t>Task Name</t>
  </si>
  <si>
    <t>→</t>
  </si>
  <si>
    <t>Effort estimates are based on high level of analysis and may change on detailed analysis.</t>
  </si>
  <si>
    <t>Pricing &amp; Basic Schedule</t>
  </si>
  <si>
    <t>Start</t>
  </si>
  <si>
    <t>End</t>
  </si>
  <si>
    <t>Role-wise resource count / phase</t>
  </si>
  <si>
    <t>For complete manual schedule details,</t>
  </si>
  <si>
    <r>
      <t xml:space="preserve">←  TOTALS  </t>
    </r>
    <r>
      <rPr>
        <sz val="16"/>
        <color theme="1"/>
        <rFont val="Calibri"/>
        <family val="2"/>
      </rPr>
      <t>→</t>
    </r>
  </si>
  <si>
    <t>Ending at:</t>
  </si>
  <si>
    <t>Automated</t>
  </si>
  <si>
    <t>Manual</t>
  </si>
  <si>
    <t>Phases</t>
  </si>
  <si>
    <t>Resources</t>
  </si>
  <si>
    <t>NOTE:</t>
  </si>
  <si>
    <t>Manually build the execution plan below using given template or otherwise and type in the final end date above.</t>
  </si>
  <si>
    <t>Task Group Name</t>
  </si>
  <si>
    <t>Templates</t>
  </si>
  <si>
    <t>Reduce by:</t>
  </si>
  <si>
    <t>Increase by:</t>
  </si>
  <si>
    <t>Minimum (-)</t>
  </si>
  <si>
    <t>Maximum (+)</t>
  </si>
  <si>
    <t>RFP Details</t>
  </si>
  <si>
    <t>Choices</t>
  </si>
  <si>
    <t>T3</t>
  </si>
  <si>
    <t>Extras</t>
  </si>
  <si>
    <t>Unit Testing</t>
  </si>
  <si>
    <t>Unknowns</t>
  </si>
  <si>
    <t>Extra 1</t>
  </si>
  <si>
    <t>Extra 2</t>
  </si>
  <si>
    <t>Extra 3</t>
  </si>
  <si>
    <t>w Extras</t>
  </si>
  <si>
    <t>Used to get effort for High and Low complexity activities based on given medium complexity effort.</t>
  </si>
  <si>
    <t>Added to calculated effort, when chosen.</t>
  </si>
  <si>
    <t>Buffer types</t>
  </si>
  <si>
    <t>Added to final effort reached after +/- adjustments.</t>
  </si>
  <si>
    <t>% Values</t>
  </si>
  <si>
    <t>Compact</t>
  </si>
  <si>
    <t>Full</t>
  </si>
  <si>
    <t>Copy Image:</t>
  </si>
  <si>
    <t>W0</t>
  </si>
  <si>
    <t>↓</t>
  </si>
  <si>
    <t>↑</t>
  </si>
  <si>
    <t>Choices &amp; Notes</t>
  </si>
  <si>
    <t>←</t>
  </si>
  <si>
    <t>#</t>
  </si>
  <si>
    <t>Functional Breakdown Summary</t>
  </si>
  <si>
    <t>TOTAL_EFFORT</t>
  </si>
  <si>
    <t>TOTAL_COST</t>
  </si>
  <si>
    <t>TOTAL_WEEKS</t>
  </si>
  <si>
    <t>REQ_EFFORT</t>
  </si>
  <si>
    <t>DEV_EFFORT</t>
  </si>
  <si>
    <t>DESIGN_EFFORT</t>
  </si>
  <si>
    <t>QA_EFFORT</t>
  </si>
  <si>
    <t>UAT_EFFORT</t>
  </si>
  <si>
    <t>OTHER_EFFORT</t>
  </si>
  <si>
    <t>START_DATE</t>
  </si>
  <si>
    <t>AUTOMATED_END_DATE</t>
  </si>
  <si>
    <t>MANUAL_END_DATE</t>
  </si>
  <si>
    <t>DURATION</t>
  </si>
  <si>
    <t>MANUAL_DURATION</t>
  </si>
  <si>
    <t>REQ_COST</t>
  </si>
  <si>
    <t>DESIGN_COST</t>
  </si>
  <si>
    <t>DEV_COST</t>
  </si>
  <si>
    <t>QA_COST</t>
  </si>
  <si>
    <t>UAT_COST</t>
  </si>
  <si>
    <t>OTHER_COST</t>
  </si>
  <si>
    <r>
      <t xml:space="preserve">Read </t>
    </r>
    <r>
      <rPr>
        <b/>
        <sz val="11"/>
        <color rgb="FFCC00CC"/>
        <rFont val="Calibri"/>
        <family val="2"/>
        <scheme val="minor"/>
      </rPr>
      <t>Help</t>
    </r>
    <r>
      <rPr>
        <b/>
        <sz val="11"/>
        <color theme="0"/>
        <rFont val="Calibri"/>
        <family val="2"/>
        <scheme val="minor"/>
      </rPr>
      <t xml:space="preserve"> for more details.</t>
    </r>
  </si>
  <si>
    <t>This estimation template is designed and developed to facilicate following:</t>
  </si>
  <si>
    <t>●</t>
  </si>
  <si>
    <t>Get rid of all possibilities of formula errors</t>
  </si>
  <si>
    <t>Keep archiects focused on the process of 'estimation' itself and not on ensuring formula correctness and keeping tasks grouping intact</t>
  </si>
  <si>
    <t>Automating cost calculations</t>
  </si>
  <si>
    <t>Automating basic scheduling with minimum and mostly standard inputs</t>
  </si>
  <si>
    <t>Giving sales an opportuinity to play around with effort to reach desired costing without breaking the technical equilibrium</t>
  </si>
  <si>
    <t>Giving pre-sales a simpler interface to pick estimation details or summary for use in final proposal</t>
  </si>
  <si>
    <t>Giving MMs an easy and semi-automated and integrated worksheet for manual and optimized scheduling</t>
  </si>
  <si>
    <t>Estimation Support Settings</t>
  </si>
  <si>
    <t>Sales</t>
  </si>
  <si>
    <t>Presales</t>
  </si>
  <si>
    <t>AG</t>
  </si>
  <si>
    <t>TA Name</t>
  </si>
  <si>
    <t>A/c Manager Name</t>
  </si>
  <si>
    <t>Presales Member Name</t>
  </si>
  <si>
    <t>(Uses manual duration)</t>
  </si>
  <si>
    <t>(Do not use inside development phase)</t>
  </si>
  <si>
    <t>Note: This does not takes care of optimized parallel execution of tasks. For that manual scheduling will be required, which can be / done on next sheet.</t>
  </si>
  <si>
    <t>Multi-level Auto Numbering</t>
  </si>
  <si>
    <t>It numbers and re-numbers tasks and activities</t>
  </si>
  <si>
    <t>automatically as you insert or remove items.</t>
  </si>
  <si>
    <t>Phase numbers are kept manual as this is generally fixed</t>
  </si>
  <si>
    <t xml:space="preserve">and rarely changes. </t>
  </si>
  <si>
    <t>Across all phases, it does consistent two level grouping</t>
  </si>
  <si>
    <t>of tasks and activities; automatically as you insert or remove</t>
  </si>
  <si>
    <t xml:space="preserve">items. </t>
  </si>
  <si>
    <t>A task group can bring in one level of logical seperation without</t>
  </si>
  <si>
    <t>adding another level of grouping.</t>
  </si>
  <si>
    <t>Task groups don't have numbers by default, but you can</t>
  </si>
  <si>
    <t>do manual numbering, if you need.</t>
  </si>
  <si>
    <t>Controlled Insert/Delete</t>
  </si>
  <si>
    <t>100% Automated Calculations</t>
  </si>
  <si>
    <t>be overwritten accidently or otherwise; as cells are protected.</t>
  </si>
  <si>
    <t xml:space="preserve">All regular summation and calculations are baked in 100% safe formulae, that cannot </t>
  </si>
  <si>
    <t>This also facilitate upto last change reflection in effort, schedule and costing</t>
  </si>
  <si>
    <t>updates.</t>
  </si>
  <si>
    <t>Tasks sum up at phase level</t>
  </si>
  <si>
    <t>Activities sum up at task level</t>
  </si>
  <si>
    <t>If task groups are inserted, tasks below a task group sum up at task group level.</t>
  </si>
  <si>
    <t>The plase where a new task group is inserted, all tasks below that row untill</t>
  </si>
  <si>
    <t>next task group or till the end of that phase, become part of that task group.</t>
  </si>
  <si>
    <t>Given a start date and resource loading for each</t>
  </si>
  <si>
    <t>phase, it creates basic schedule automatically.</t>
  </si>
  <si>
    <t>Since focus of this template is not doing</t>
  </si>
  <si>
    <t>optimized scheduling, it integrates with</t>
  </si>
  <si>
    <t xml:space="preserve">possibility of doing manual scheduling </t>
  </si>
  <si>
    <t>as well.</t>
  </si>
  <si>
    <t>Automated Basic Scheduling</t>
  </si>
  <si>
    <t>Costing Goes Hand-in-Hand</t>
  </si>
  <si>
    <t>Define role wise rates and let it calculate the cost</t>
  </si>
  <si>
    <t>Instantly!</t>
  </si>
  <si>
    <t>as the estimation happens / changes are applied.</t>
  </si>
  <si>
    <t xml:space="preserve">A summary of current cost always shows up </t>
  </si>
  <si>
    <t>on top.</t>
  </si>
  <si>
    <t>Effort distribution per phase is shown</t>
  </si>
  <si>
    <t>graphically for easy comprehension.</t>
  </si>
  <si>
    <t>Graphical Effort Distribution</t>
  </si>
  <si>
    <t>Aggregated Effort Per Task</t>
  </si>
  <si>
    <t>See aggregated effort (including requirement, design, testing, etc., per</t>
  </si>
  <si>
    <t>development task and task group). All automated.</t>
  </si>
  <si>
    <t>Ability to Add Buffer, Unit Testing, etc. Explicitely</t>
  </si>
  <si>
    <t xml:space="preserve">Add explicit overheads per task in a collapsable area - outside the WBS, </t>
  </si>
  <si>
    <t>to make your choices explicit.</t>
  </si>
  <si>
    <t>Sales have the final call!</t>
  </si>
  <si>
    <t xml:space="preserve">Increase / Decrease effort all over WBS without breaking the </t>
  </si>
  <si>
    <t xml:space="preserve">technical equilibrium - using given controls. </t>
  </si>
  <si>
    <t>Optinally marked items which are generally good to have</t>
  </si>
  <si>
    <t>can be excluded if need be.</t>
  </si>
  <si>
    <t>Consistent 2-level Automated Grouping</t>
  </si>
  <si>
    <t>Take it to Final Propsal</t>
  </si>
  <si>
    <t>Informative Edges</t>
  </si>
  <si>
    <t>Left edge shows various colored lines to indicate extras; e.g., if item has</t>
  </si>
  <si>
    <t xml:space="preserve">any error, or any effort markup is added (inside collapsable area). </t>
  </si>
  <si>
    <t>Right edge shows the specific error on the line, if any.</t>
  </si>
  <si>
    <t>Choose between Full or Compact view (all / selective (predefined) ) colums</t>
  </si>
  <si>
    <t>On a single click, take the WBS to final propsal as-is without breaking any formatting (as image).</t>
  </si>
  <si>
    <t>Full Featured Estimation Area</t>
  </si>
  <si>
    <t>Define Unit name, count and complexity mix. Define effort for 1 medium unit. Rest is calculated. Take final judgement over calculated effort by adding/reducing on it.</t>
  </si>
  <si>
    <t>Extras such as Unit Testing, if chosen, also shows up.</t>
  </si>
  <si>
    <t>In-Place Review Area</t>
  </si>
  <si>
    <t>Review comments can be placed right inside the collapsable</t>
  </si>
  <si>
    <t xml:space="preserve">area. </t>
  </si>
  <si>
    <t>A yellow line indicate where all review comments are placed.</t>
  </si>
  <si>
    <t>This is helpful especially when looking with all closed rows.</t>
  </si>
  <si>
    <t>Finally, everything is configurable!</t>
  </si>
  <si>
    <t>Use pre-defined names or define your own, if you still get situations where you want to write formulae in your estimation.</t>
  </si>
  <si>
    <t>Top 15 Features</t>
  </si>
  <si>
    <t>It does not allow to insert a row. How do I add a row?</t>
  </si>
  <si>
    <t>How to delete a row?</t>
  </si>
  <si>
    <t>It only supports two level of groupings, I need three or more levels.</t>
  </si>
  <si>
    <t>For sake of consistency across estimates, it allows only two collapsable levels of grouping. Yet it supports a logical non-collapsable third level called a Task group.</t>
  </si>
  <si>
    <t>A task group can be added above any task using Ctrl+Shift+G. A task group is intelligent to assume all tasks, till the next task group  or end of section, under it.</t>
  </si>
  <si>
    <t>This affects the summation of the task group effort.</t>
  </si>
  <si>
    <t>It does not allow copy/paste of rows. How do I move one row elsewhere?</t>
  </si>
  <si>
    <t>Since sheet is protected for discussed reasons, it does not allow copy/paste of rows.</t>
  </si>
  <si>
    <t>This means, activities can be moved in another task and even in another phase. Task groups can also move up or down and therefore be parent of a different set of tasks.</t>
  </si>
  <si>
    <t>I want to add a new section / phase?</t>
  </si>
  <si>
    <t>This supports only 6 phases. You can rename them as required. However if you really need 7th; you need to use a different template.</t>
  </si>
  <si>
    <t>Last updated:</t>
  </si>
  <si>
    <t>Last updated by:</t>
  </si>
  <si>
    <t>It does not allow adding effort details for a task. Where do I put effort estimates?</t>
  </si>
  <si>
    <t>Effort estimates can be added only to an activity. A task is always a collection of activities. At minimum there will be one activity in one task.</t>
  </si>
  <si>
    <t>What each column mean and what I am supposed to write where?</t>
  </si>
  <si>
    <t>There are following columns and what each column mean:</t>
  </si>
  <si>
    <t>Number:</t>
  </si>
  <si>
    <t>Certain rows do not get numbered automatically. Is this by design?</t>
  </si>
  <si>
    <t>Yes, sections  and Task groups are not numbered automatically for various reasons and should be typed in manually as required.</t>
  </si>
  <si>
    <t>For all other rows, numbers are generated and updated (on move, inserts, deletion) automatically.</t>
  </si>
  <si>
    <t>Tasks:</t>
  </si>
  <si>
    <t>This area is semi-editable and shows the section, task group, task and/or activity number. Numbers of only section and task group rows can be edited.</t>
  </si>
  <si>
    <t>This area is editable and should define section name, task group name, task name or activity name, as the case may be. An activity can optionally have bullets for scope.</t>
  </si>
  <si>
    <t>RFP Mapping:</t>
  </si>
  <si>
    <t>Mapping with requirement document if any can be defined here.</t>
  </si>
  <si>
    <t>Unit:</t>
  </si>
  <si>
    <t>Unit section is to define unit of activity estimation.</t>
  </si>
  <si>
    <t>Name:</t>
  </si>
  <si>
    <t>#:</t>
  </si>
  <si>
    <t>Define a unit name here, e.g., Screen, Test Case, Report, % of X, etc.</t>
  </si>
  <si>
    <t>Define the number that represents the unit. If number is a % value, still define it as number. Add % in forumula, if required elsewhere.</t>
  </si>
  <si>
    <t>x N:</t>
  </si>
  <si>
    <t>Define how many cycles/set of Unit * Number are required. Generally this will be required only in few cases</t>
  </si>
  <si>
    <t>E.g., 3 Staging Releases where 5% of Dev time is required everytime, or 5 Screens to be tested on 7 Browsers</t>
  </si>
  <si>
    <t>Complexity %:</t>
  </si>
  <si>
    <t xml:space="preserve">There are three columns to define the complexity mix of the number that is defined in '#' column. </t>
  </si>
  <si>
    <t>E.g., If 20 Use Cases are defined, it's possible that we are assuming 25% as High, 50% as Medium and remaining 25% as Low</t>
  </si>
  <si>
    <t>Effort (PDs):</t>
  </si>
  <si>
    <t>This area represents calculated and worked-up effort estimate in PDs. This is NON-EDITABLE.</t>
  </si>
  <si>
    <t>Where do I put in effort estimates?</t>
  </si>
  <si>
    <t>Open the columns group using + symbol under "W" column.</t>
  </si>
  <si>
    <t>Following columns are visible now where you can work-out estimates for the activity. The details of each of these columns are:</t>
  </si>
  <si>
    <t>PDs / 1 Unit:</t>
  </si>
  <si>
    <t>This is where you should define how many PDs would it take to complete 1 Medium Complexity Unit of activity.</t>
  </si>
  <si>
    <t>E.g., If Unit was "Use Case", # was "20", Complexity Mix was H: 25%, M: 50%, L: 25%, if we define PDs / 1 Unit - it means the total effort for this acitivity would be:</t>
  </si>
  <si>
    <t>10 X 1 = 10 PDs</t>
  </si>
  <si>
    <t>M: 50% of 20 = 10</t>
  </si>
  <si>
    <t>H: 25% of 20 = 5</t>
  </si>
  <si>
    <t>5 X 1.5 = 7.5 PDs</t>
  </si>
  <si>
    <t>L: 25% of 20 = 5</t>
  </si>
  <si>
    <t>5 X .75 = 3.75 PDs</t>
  </si>
  <si>
    <t>21 PDs</t>
  </si>
  <si>
    <t>Calculated:</t>
  </si>
  <si>
    <t>This shows calculated effort based on given unit and unit-effort details. This is NON-EDITABLE.</t>
  </si>
  <si>
    <t>w Extras:</t>
  </si>
  <si>
    <t>This shows additionally added effort based on choices made for rows. This is NON-EDITABLE.</t>
  </si>
  <si>
    <t>(more on this later in next FAQ)</t>
  </si>
  <si>
    <t>(+/-):</t>
  </si>
  <si>
    <t>Basic calculation based on given unit and size is done here; however for real judgement you can ADD or SUBTRACT any figure here.</t>
  </si>
  <si>
    <t>E.g., -2 in this column will make final effort to be used as 19 PDs instead of 21 PDs.</t>
  </si>
  <si>
    <t>4 in this column will make final effort to be used as 25 PDs instead of 21 PDs.</t>
  </si>
  <si>
    <t>This gives you finer control on estimation - which otherwise you would have (in unprotected / no-formula) sheet</t>
  </si>
  <si>
    <t>I define effort for Medium complexity activity. How does effort for High and Low complexity activities are calculated?</t>
  </si>
  <si>
    <t>This is configurable under "Estimation Support Settings -&gt; Complexity Impact" section.</t>
  </si>
  <si>
    <t>Default values are set to assume 50% more effort for a high complexity activity as compared to medium complexity one; and 25% less effort when it is low complexity acitivity.</t>
  </si>
  <si>
    <t>Generally you would not change it - but this is very much available for any change.</t>
  </si>
  <si>
    <t>What Extras are available to add to estimates?</t>
  </si>
  <si>
    <t>Open the "Choices and Notes" section in extreme left using "&lt;--" or "+" under "F" column.</t>
  </si>
  <si>
    <t>It shows following columns:</t>
  </si>
  <si>
    <t>Add Buffer:</t>
  </si>
  <si>
    <t>Calculated effort is showing less / more effort than calculated one. I have not even added any extras or buffer. Why?</t>
  </si>
  <si>
    <t xml:space="preserve">There is a "Sales Call Scale" on top which lets Sales to increase/reduce effort per activity level all at once. </t>
  </si>
  <si>
    <t>Ensure that selection is set to "No Change". Thereafter there should not be any seemingly incorrect effort.</t>
  </si>
  <si>
    <t>It gives three choices Low, Medium and High. Selecting any one, will add certain % of buffer in the final effort shown.</t>
  </si>
  <si>
    <t>Again, these Low, Medium and High % values are configurable under "Estimation Support Settings --&gt; Buffer Types" section.</t>
  </si>
  <si>
    <t>Extras:</t>
  </si>
  <si>
    <t>This shows choices like Unit Testing, Unknowns, etc. These values (names) and associated % values are configurable under "Estimation Support Settings - Extras" section.</t>
  </si>
  <si>
    <t>This effort is added on +/- adjusted (calculated) effort.</t>
  </si>
  <si>
    <t>This effort is added on top of calculated effort which might have reduced using -N value.</t>
  </si>
  <si>
    <t>Calculated effort will not be impacted. This value is added on final effort (including any Extras effort).</t>
  </si>
  <si>
    <t>There are few more columns in Choices and Notes section. What are these?</t>
  </si>
  <si>
    <t>Yes, there are few more. These are:</t>
  </si>
  <si>
    <t>Mark as Optional:</t>
  </si>
  <si>
    <t>Exclude:</t>
  </si>
  <si>
    <t>Notes:</t>
  </si>
  <si>
    <t>At times we need to include certain tasks which are not part of the given requirements but are advisable to have.</t>
  </si>
  <si>
    <t>It was a problem, because if we add those, estimates used to go high and if we don't add them we were assumed to have not thought of those.</t>
  </si>
  <si>
    <t>Not anymore. Now all such "seemingly-out-of-scope-but-recommended-to-have" type of tasks can be added and marked as optional by choosing "Yes" in this column.</t>
  </si>
  <si>
    <t>This ensures that we do cover everything. At the same time, Sales can make a informative judgements without breaking overall sanity of the estimation / wbs.</t>
  </si>
  <si>
    <t>Sales has a top level "Optionals: Include/Exclude" choice which includes or excludes all optionally marked activities.</t>
  </si>
  <si>
    <t>To exclude a specific optional / non-optional activity, choose 'Yes" for this column and it will be marked as excluded.</t>
  </si>
  <si>
    <t>All excluded rows *do not* get added in total effort, schedule or cost.</t>
  </si>
  <si>
    <t>While iterating over estimate, while reviewing etc. This column comes handy and allows writing any sort of notes for the in-progress version of the document.</t>
  </si>
  <si>
    <t>Yes, it shows following colored lines:</t>
  </si>
  <si>
    <t>Red:</t>
  </si>
  <si>
    <t>Orange:</t>
  </si>
  <si>
    <t>Blue:</t>
  </si>
  <si>
    <t>Magenta:</t>
  </si>
  <si>
    <t>Yellow:</t>
  </si>
  <si>
    <t>Marks that "Extras" is added.</t>
  </si>
  <si>
    <t>Marks that "Buffer" is added.</t>
  </si>
  <si>
    <t>Depicts that either there is some error on this line, or the activity is excluded. Check out the error details on extreme right column.</t>
  </si>
  <si>
    <t>Depicts that activity is marked as optional.</t>
  </si>
  <si>
    <t>Depicts that some notes / review comments exists on this line.</t>
  </si>
  <si>
    <t>I have to calculate some effort based on total development effort. How do I do that?</t>
  </si>
  <si>
    <t>There are special names that can be used in your own formule. All these names are written in "Estimation Support Settings" section.</t>
  </si>
  <si>
    <t>There are some special names as well, e.g., "As Dev Effort %", this can be used in "Unit Name" columm and "#" column can define the "%" value (as number).</t>
  </si>
  <si>
    <t>This will automatically put the effort as #% of Development Effort.</t>
  </si>
  <si>
    <t>For WBS Summary, goto "Functional Breakdown Summary" section and refresh the list. This shows the list of all task groups and tasks with cumulative effort and cost</t>
  </si>
  <si>
    <t>of all phases. This can directly be copied/pasted in final proposal.</t>
  </si>
  <si>
    <t>For whole of WBS, if you would copy/paste as is, you would need to do certain amount of formatting, as there are several intersparsed thin and empty rows in here.</t>
  </si>
  <si>
    <t>To make it simple and ensure formatting does not break, it provides an image copy option. There are two modes available: Full and Compact which picks different</t>
  </si>
  <si>
    <t xml:space="preserve">set of columns. This will copy entire WBS as one single image. In final proposal, you might need to paste it on few pages and crop-show only relevant areas. </t>
  </si>
  <si>
    <t>For proposal, generally the Compact view would be suitable.</t>
  </si>
  <si>
    <t>I want to take the WBS summary in final proposal document. How do I do that?</t>
  </si>
  <si>
    <t>I want to take full WBS in final proposal document. How do I do that?</t>
  </si>
  <si>
    <t>Effort that we do generally have some buffer built into it, either explicitely (in buffer column) or otherwise.</t>
  </si>
  <si>
    <t>To remove the buffer, it is recommended that Sales Call scale should be set to "Minimize". This applies the reduction in all tasks on a predefined % that was set</t>
  </si>
  <si>
    <t>by the person who did the estimation; keeeping the complexity in mind.</t>
  </si>
  <si>
    <t>To increase the effort to maximum possible, set the scale to "Maximize" which increases it to maximum justifiable level.</t>
  </si>
  <si>
    <t>I want to exclude all optionals in order to keep tasks to bare minimum. How do I do that?</t>
  </si>
  <si>
    <t>Have a look at the left area in WBS. Are there any Orange lines? If yes, this means, there are opitonally marked items. Set the "Optionals" choice on top to</t>
  </si>
  <si>
    <t xml:space="preserve">"Exclude" and it will remove the effort for optional tasks. </t>
  </si>
  <si>
    <t>Whenever this is changes, all effort, costing and schedule is updated. Note: Manual schedule will have no impact of this change and will need to be redone.</t>
  </si>
  <si>
    <t>I want to configure automated scheduling for better. How do I do that?</t>
  </si>
  <si>
    <t>I have done manual scheduling - but the project management effort is not updated as per new schedule duration. Why?</t>
  </si>
  <si>
    <r>
      <t xml:space="preserve">Please send me a mail at </t>
    </r>
    <r>
      <rPr>
        <b/>
        <sz val="11"/>
        <color theme="4"/>
        <rFont val="Calibri"/>
        <family val="2"/>
        <scheme val="minor"/>
      </rPr>
      <t>vikas.burman@nagarro.com</t>
    </r>
    <r>
      <rPr>
        <sz val="11"/>
        <color theme="1"/>
        <rFont val="Calibri"/>
        <family val="2"/>
        <scheme val="minor"/>
      </rPr>
      <t xml:space="preserve"> and I will address that.</t>
    </r>
  </si>
  <si>
    <t>I want to update rates for correct cost calculation. Where do I do that?</t>
  </si>
  <si>
    <t>Open "Price and Basic Scheduling" section and look for "Role wise Rates" section where you can update these rates. Updating these rates, updates all costing automatically.</t>
  </si>
  <si>
    <t>It is showing currency as USD only. How do I change currency?</t>
  </si>
  <si>
    <t>"Estimation Support Settings" section has "Currency" dropdown to choose currency.</t>
  </si>
  <si>
    <t>Automated scheduling works based on following three:</t>
  </si>
  <si>
    <r>
      <rPr>
        <b/>
        <sz val="11"/>
        <color theme="1"/>
        <rFont val="Calibri"/>
        <family val="2"/>
        <scheme val="minor"/>
      </rPr>
      <t>Role wise distribution / phase:</t>
    </r>
    <r>
      <rPr>
        <sz val="11"/>
        <color theme="1"/>
        <rFont val="Calibri"/>
        <family val="2"/>
        <scheme val="minor"/>
      </rPr>
      <t xml:space="preserve"> Define a % value for each role. Not all roles will be involved in each phases. This is a generic and average figure.</t>
    </r>
  </si>
  <si>
    <r>
      <rPr>
        <b/>
        <sz val="11"/>
        <color theme="1"/>
        <rFont val="Calibri"/>
        <family val="2"/>
        <scheme val="minor"/>
      </rPr>
      <t xml:space="preserve">Role wise resource count / phase: </t>
    </r>
    <r>
      <rPr>
        <sz val="11"/>
        <color theme="1"/>
        <rFont val="Calibri"/>
        <family val="2"/>
        <scheme val="minor"/>
      </rPr>
      <t>Define number of resources that should be put in each phase for each role. This is again an average value.</t>
    </r>
  </si>
  <si>
    <t>E.g., start designing phase after 75% of requirement phase is done.</t>
  </si>
  <si>
    <r>
      <rPr>
        <b/>
        <sz val="11"/>
        <color theme="1"/>
        <rFont val="Calibri"/>
        <family val="2"/>
        <scheme val="minor"/>
      </rPr>
      <t>Start next phase after %:</t>
    </r>
    <r>
      <rPr>
        <sz val="11"/>
        <color theme="1"/>
        <rFont val="Calibri"/>
        <family val="2"/>
        <scheme val="minor"/>
      </rPr>
      <t xml:space="preserve"> This brings in some parrallism, by defining when to start next phase in relation of previous phase completion %.</t>
    </r>
  </si>
  <si>
    <t>By playing around with these numbers, and optimizing these values, automated scheduling can be configured for better. However please note:</t>
  </si>
  <si>
    <t>Automated scheduling does not do fully-optimized parallel execution / resource loading.</t>
  </si>
  <si>
    <t xml:space="preserve">It should be used to get a tentative idea of end date. </t>
  </si>
  <si>
    <t>Manual scheduling will always give better visibility of end date.</t>
  </si>
  <si>
    <t>Project Management Activity is generally added in Others section with "As Duration %" unit name and "#" as project manager's expected allocation % number.</t>
  </si>
  <si>
    <t>This takes the defined "Start Date" and defined "End Date" on "Schedule" sheet in consideration to get the duration of the project. And uses the defined % of</t>
  </si>
  <si>
    <t xml:space="preserve">calculated net working days between these two dates. </t>
  </si>
  <si>
    <t>So if any of the above is not done, this will not calculate well. Fix the missing piece and it will work.</t>
  </si>
  <si>
    <t>FOR ARCHITECTS</t>
  </si>
  <si>
    <t>FOR PRESALES / MMs</t>
  </si>
  <si>
    <t>FOR SALES</t>
  </si>
  <si>
    <t xml:space="preserve">Yes this can be done, however technical justification beyond defined minimum / maximum % might not be feasible. </t>
  </si>
  <si>
    <t>To increase / decrease, choose "Increase by:" or "Decrease by:" option on "Sales Call" scale and define required % value right next to it.</t>
  </si>
  <si>
    <t xml:space="preserve">It will apply changes all over, including automated schedule. </t>
  </si>
  <si>
    <t>Note: Manual schedule and Project Management effort (if added as Duration %) will remain as is, since that is a manual activity.</t>
  </si>
  <si>
    <t>FOR ALL</t>
  </si>
  <si>
    <t>At times, it shows some colored lines on extreme left - what does these mean?</t>
  </si>
  <si>
    <t>I want to increase / decrease effort by a specified %. Can this be done?</t>
  </si>
  <si>
    <t>I am looking for something else, this is not mentioned here. Where to look for?</t>
  </si>
  <si>
    <t>I want to squeeze the effort to bare minimum. How do I do that?</t>
  </si>
  <si>
    <t>Where do I define the RFP Name, Client Name, etc.?</t>
  </si>
  <si>
    <t>Open "Estimation Support Settings" section and you will see a lot of configuration options where you can define these. It will be updated automatically in a pre-defined</t>
  </si>
  <si>
    <t>format.</t>
  </si>
  <si>
    <t>There are tons of other features; which are very intutive and utilized on their own. Yet, you can have a look at</t>
  </si>
  <si>
    <t>FAQs</t>
  </si>
  <si>
    <t>for specific questions that</t>
  </si>
  <si>
    <t>you may have.</t>
  </si>
  <si>
    <t xml:space="preserve">If you still have more questions, send a mail at: </t>
  </si>
  <si>
    <t>vikas.burman@nagarro.com</t>
  </si>
  <si>
    <t>RFP Mapping</t>
  </si>
  <si>
    <t>Since estimation sheet is password protected and does not allow adding/removing rows anywhere, it provieds simple command buttons to add tasks, activities and groups.</t>
  </si>
  <si>
    <r>
      <rPr>
        <b/>
        <sz val="11"/>
        <color theme="1"/>
        <rFont val="Calibri"/>
        <family val="2"/>
        <scheme val="minor"/>
      </rPr>
      <t>Add Before</t>
    </r>
    <r>
      <rPr>
        <sz val="11"/>
        <color theme="1"/>
        <rFont val="Calibri"/>
        <family val="2"/>
        <scheme val="minor"/>
      </rPr>
      <t xml:space="preserve"> button add a task when not inside/on a section/task; when inside a task or on an activity, it adds an activity</t>
    </r>
  </si>
  <si>
    <r>
      <rPr>
        <b/>
        <sz val="11"/>
        <color theme="1"/>
        <rFont val="Calibri"/>
        <family val="2"/>
        <scheme val="minor"/>
      </rPr>
      <t>Add After</t>
    </r>
    <r>
      <rPr>
        <sz val="11"/>
        <color theme="1"/>
        <rFont val="Calibri"/>
        <family val="2"/>
        <scheme val="minor"/>
      </rPr>
      <t xml:space="preserve"> button do  the same as </t>
    </r>
    <r>
      <rPr>
        <b/>
        <sz val="11"/>
        <color theme="1"/>
        <rFont val="Calibri"/>
        <family val="2"/>
        <scheme val="minor"/>
      </rPr>
      <t>Add Before</t>
    </r>
    <r>
      <rPr>
        <sz val="11"/>
        <color theme="1"/>
        <rFont val="Calibri"/>
        <family val="2"/>
        <scheme val="minor"/>
      </rPr>
      <t>, but insert new item on top of current row</t>
    </r>
  </si>
  <si>
    <r>
      <rPr>
        <b/>
        <sz val="11"/>
        <color theme="1"/>
        <rFont val="Calibri"/>
        <family val="2"/>
        <scheme val="minor"/>
      </rPr>
      <t>Add Group</t>
    </r>
    <r>
      <rPr>
        <sz val="11"/>
        <color theme="1"/>
        <rFont val="Calibri"/>
        <family val="2"/>
        <scheme val="minor"/>
      </rPr>
      <t xml:space="preserve"> adds a task group (can be used to define a module)</t>
    </r>
  </si>
  <si>
    <r>
      <rPr>
        <b/>
        <sz val="11"/>
        <color theme="1"/>
        <rFont val="Calibri"/>
        <family val="2"/>
        <scheme val="minor"/>
      </rPr>
      <t>Remove</t>
    </r>
    <r>
      <rPr>
        <sz val="11"/>
        <color theme="1"/>
        <rFont val="Calibri"/>
        <family val="2"/>
        <scheme val="minor"/>
      </rPr>
      <t xml:space="preserve"> button deletes the current row (which could be an activity, task or task group)</t>
    </r>
  </si>
  <si>
    <r>
      <rPr>
        <b/>
        <sz val="11"/>
        <color theme="1"/>
        <rFont val="Calibri"/>
        <family val="2"/>
        <scheme val="minor"/>
      </rPr>
      <t>Move Up/Down</t>
    </r>
    <r>
      <rPr>
        <sz val="11"/>
        <color theme="1"/>
        <rFont val="Calibri"/>
        <family val="2"/>
        <scheme val="minor"/>
      </rPr>
      <t xml:space="preserve"> buttons move current row up or down. Rows can cross phases as well.</t>
    </r>
  </si>
  <si>
    <t>Yes, the sheets are protected to ensure sanity of formulae. It allows adding Tasks and Activities using provided command buttons. Use Add Before, Add After or Add Group</t>
  </si>
  <si>
    <t>to add task, activities or task groups.</t>
  </si>
  <si>
    <t>Use provided Remove button to remove currently selected row.</t>
  </si>
  <si>
    <t>But it gives an easy way for moving tasks, activities and even task groups. Use Move Up or Move Down command buttons to move rows up or down.</t>
  </si>
  <si>
    <t>Format:</t>
  </si>
  <si>
    <t>Task activity
&gt;&gt; Scope Item 1 
&gt;&gt; Scope Item 2
&gt;&gt; Scope Item 3</t>
  </si>
  <si>
    <t>&gt;&gt; Out of scope activity 1</t>
  </si>
  <si>
    <t>Out of scope / Assumptions</t>
  </si>
  <si>
    <t>&gt;&gt; Assumption 1
&gt;&gt; Assumption 2</t>
  </si>
  <si>
    <t>Out of scope / Assumptions:</t>
  </si>
  <si>
    <t>This column lets you define any out of scope activities related to specific task, and relevant assumptions related to specific activity.</t>
  </si>
  <si>
    <t>Development environment and team ramp-up</t>
  </si>
  <si>
    <t>Shared/core tasks</t>
  </si>
  <si>
    <t>Default</t>
  </si>
  <si>
    <t xml:space="preserve">Functional breakdown summary shows complete list of development tasks and modules and adds % based effort from all other phases into each task. This gets the complete costing and effort per development task. </t>
  </si>
  <si>
    <t>Generate</t>
  </si>
  <si>
    <t>Start Next  
After %</t>
  </si>
  <si>
    <t>Inbuilt Names (to use in Formula)</t>
  </si>
  <si>
    <t>Current system understanding</t>
  </si>
  <si>
    <t>Analysis of existing system architecture</t>
  </si>
  <si>
    <t>Requirement analysis</t>
  </si>
  <si>
    <t>Analysis for new business requirements</t>
  </si>
  <si>
    <t>Business process re-engineering
&gt;&gt; Analysis to optimize existing business processes and workflows.</t>
  </si>
  <si>
    <t>SRS: Software Requirement Specification
&gt;&gt; Preparation of SRS document
&gt;&gt; Use Cases/Stories including business rules, validations, CRAD (change, read and delete) by field and business functions.
&gt;&gt; Business process diagrams
&gt;&gt; Wireframes of UI and reports
&gt;&gt; Functional coverage document</t>
  </si>
  <si>
    <t>Usability Analysis
&gt;&gt; Analysis for information flow architecture and usability considerations</t>
  </si>
  <si>
    <t>Review and Sign-off
&gt;&gt; Client review iterations and sign-off on SRS and Mock-ups</t>
  </si>
  <si>
    <t>POCs</t>
  </si>
  <si>
    <t>Application framework construction</t>
  </si>
  <si>
    <t>Functional test cases preparation and review</t>
  </si>
  <si>
    <t>Analysis of existing application(s) design</t>
  </si>
  <si>
    <t>Analysis of existing database(s)</t>
  </si>
  <si>
    <t>Tables</t>
  </si>
  <si>
    <t xml:space="preserve">High Level Analysis and design document preparation
</t>
  </si>
  <si>
    <t xml:space="preserve">Low level analysis and design document preparation
</t>
  </si>
  <si>
    <t>Database design and analysis document preparation
&gt;&gt; Data Dictionary etc.</t>
  </si>
  <si>
    <t>Review and Sign-off
&gt;&gt; Client review iterations and sign-off on design documents</t>
  </si>
  <si>
    <t>Design Analysis and Documentation</t>
  </si>
  <si>
    <t>X-cutting layers
&gt;&gt; Logging, Exception handling, caching, notification, etc.</t>
  </si>
  <si>
    <t>Security
&gt;&gt; Authentication, authorization framework</t>
  </si>
  <si>
    <t>Schedular service</t>
  </si>
  <si>
    <t>UI Navigation framework</t>
  </si>
  <si>
    <t>Workflow management framework</t>
  </si>
  <si>
    <t>Testing strategy and planning</t>
  </si>
  <si>
    <t>Test cases preparation (Manual)
&gt;&gt; For system and integration testing</t>
  </si>
  <si>
    <t>Test cases preparation (Automated)
&gt;&gt; Automated test scripts</t>
  </si>
  <si>
    <t>Review and Sign-off
&gt;&gt; Client review iterations and sign-off on test cases</t>
  </si>
  <si>
    <t>&gt;&gt; Valid only in case of mannual testing
&gt;&gt; Mutually exclusive with 5.3</t>
  </si>
  <si>
    <t>&gt;&gt; Valid only in case of automated testing
&gt;&gt; Mutually exclusive with 5.2</t>
  </si>
  <si>
    <t>Test Cases</t>
  </si>
  <si>
    <t>SRS knowledge transfer to team members</t>
  </si>
  <si>
    <t>Design knowledge transfer to team members</t>
  </si>
  <si>
    <t>Application framework knowledge transfer to team members</t>
  </si>
  <si>
    <t>Development environment setup</t>
  </si>
  <si>
    <t>Screen: Login (authentication process)</t>
  </si>
  <si>
    <t>Functionality: Authorization engine</t>
  </si>
  <si>
    <t>Functional test cases execution</t>
  </si>
  <si>
    <t>Testing environment setup</t>
  </si>
  <si>
    <t>Test case execution
&gt;&gt; Testing, logs and reports</t>
  </si>
  <si>
    <t>Performance testing</t>
  </si>
  <si>
    <t>Performance testing environment setup</t>
  </si>
  <si>
    <t>Scripts preparation</t>
  </si>
  <si>
    <t>Scripts execution</t>
  </si>
  <si>
    <t>Reports preparation</t>
  </si>
  <si>
    <t>Environments</t>
  </si>
  <si>
    <t>Other Testing</t>
  </si>
  <si>
    <t>Multi-browser testing</t>
  </si>
  <si>
    <t>Multi-device testing</t>
  </si>
  <si>
    <t>Staging releases (partial)</t>
  </si>
  <si>
    <t>Interim demos</t>
  </si>
  <si>
    <t>Interim staging releases
&gt;&gt; Preparation of release notes, installer, builds, etc.</t>
  </si>
  <si>
    <t>UAT Release (Full)</t>
  </si>
  <si>
    <t>UAT release
&gt;&gt; Preparation of release notes, installer, builds, etc.
&gt;&gt; UNIT: Total No. of Resources x N UAT cycle</t>
  </si>
  <si>
    <t>Releases</t>
  </si>
  <si>
    <t>Demos</t>
  </si>
  <si>
    <t>Production Release (Full)</t>
  </si>
  <si>
    <t>Final production release
&gt;&gt; Preparation of release notes, installer, builds, etc.</t>
  </si>
  <si>
    <t>Documentation and training</t>
  </si>
  <si>
    <t>Deployment document</t>
  </si>
  <si>
    <t>Training Plan and artifacts</t>
  </si>
  <si>
    <t>User manual</t>
  </si>
  <si>
    <t>Train the trainer sessions</t>
  </si>
  <si>
    <t>&gt;&gt; Valid for re-engineering task only
&gt;&gt; Technical understanding of current overall system and architecture.</t>
  </si>
  <si>
    <t>&gt;&gt; Valid for re-engineering task only</t>
  </si>
  <si>
    <t>Total FR's</t>
  </si>
  <si>
    <t>Name : Total Use Cases
# : Total FR's
xN : Use Case Per FR</t>
  </si>
  <si>
    <t>Name: Total Screens
#: Key Screens</t>
  </si>
  <si>
    <t>Resources
Weeks</t>
  </si>
  <si>
    <t>2 Resources for 4 weeks of 5 days each.</t>
  </si>
  <si>
    <t>1 Resource for 2 weeks of 5 days each.</t>
  </si>
  <si>
    <t>PM Effort</t>
  </si>
  <si>
    <t>Project management effort</t>
  </si>
  <si>
    <t>Percentage</t>
  </si>
  <si>
    <t>AG Estimation Template -  Version</t>
  </si>
  <si>
    <t>Mohit Bhardwaj</t>
  </si>
  <si>
    <t>Create User Profiles, User Journeys</t>
  </si>
  <si>
    <t xml:space="preserve">Business process understanding and verification
&gt;&gt; </t>
  </si>
  <si>
    <t>Audit</t>
  </si>
  <si>
    <t>Requirement Documentation and Review</t>
  </si>
  <si>
    <t>Information Architecture</t>
  </si>
  <si>
    <t>Prototyping Visual designs</t>
  </si>
  <si>
    <t xml:space="preserve">Understand Stakeholder Requirements, Data Analysis
&gt;&gt; Stakeholders Interviews (Business, Technology, Design)
&gt;&gt; Document interview findings, data analysis
&gt;&gt; Client Presentation (Stakeholder Interviews, Analysis)
</t>
  </si>
  <si>
    <t>Based on Total Use Cases
(Filled automatically)</t>
  </si>
  <si>
    <t>Project Plan and Kick off
&gt;&gt; Team Introductions, Revise Project Schedule, Set Expectations</t>
  </si>
  <si>
    <t>Prepare Guide and Interview Users 
&gt;&gt; 10-12) Users</t>
  </si>
  <si>
    <t xml:space="preserve">Create User Profiles &amp; Personas </t>
  </si>
  <si>
    <t>Create User Journeys</t>
  </si>
  <si>
    <t>Client Presentation, review and Sign-off
&gt;&gt; Client review iterations and sign-off user profiles, personas &amp; journeys</t>
  </si>
  <si>
    <t>Iterations</t>
  </si>
  <si>
    <t>Competitor Analysis</t>
  </si>
  <si>
    <t>User Observaions</t>
  </si>
  <si>
    <t>Expert Review</t>
  </si>
  <si>
    <t>Task Anaysis</t>
  </si>
  <si>
    <t xml:space="preserve">Client Presentation, review and Sign-off
&gt;&gt; Review &amp; Analysis </t>
  </si>
  <si>
    <t>Card Sorting</t>
  </si>
  <si>
    <t>Create Site Map &amp; Content Inventory</t>
  </si>
  <si>
    <t>R1: Preliminary Wireframes (4-5)</t>
  </si>
  <si>
    <t>Reverse Card Sort</t>
  </si>
  <si>
    <t>R2: Detailed Wireframes + Interaction Tables (15-20)</t>
  </si>
  <si>
    <t>Review and Sign-off
&gt;&gt; Client review iterations and sign-off on Final Wireframes</t>
  </si>
  <si>
    <t>Create Preliminary Visual Design Compositions (3-4 templates)</t>
  </si>
  <si>
    <t>Create Click through mockups</t>
  </si>
  <si>
    <t>Click thorugh mockups using Axure</t>
  </si>
  <si>
    <t>Final Revisions</t>
  </si>
  <si>
    <t>Mockups</t>
  </si>
  <si>
    <t>Team Ramp up</t>
  </si>
  <si>
    <t>Requirement Analysis and Planning</t>
  </si>
  <si>
    <t>Requirement Study and Analysis</t>
  </si>
  <si>
    <t>Test Plan document
&gt;&gt; (Creation of test plan)</t>
  </si>
  <si>
    <t>Total Use Cases</t>
  </si>
  <si>
    <t>Test Preparation</t>
  </si>
  <si>
    <t>Name: Total Test Cases
# : Total Use case's
xN : Test case Per Use case</t>
  </si>
  <si>
    <t>Percentage of Test Cases</t>
  </si>
  <si>
    <t>How much percentage of test cases you are intended to execute</t>
  </si>
  <si>
    <t>15% test cases considered for Performance testing</t>
  </si>
  <si>
    <t>Browsers
Screens</t>
  </si>
  <si>
    <t>Devices
Screens</t>
  </si>
  <si>
    <t>2.0.4</t>
  </si>
  <si>
    <t xml:space="preserve">Accessibility Testing </t>
  </si>
  <si>
    <t>Usability Testing</t>
  </si>
  <si>
    <t>Screens</t>
  </si>
  <si>
    <t>% of the Use cases</t>
  </si>
  <si>
    <t>Considered 2% of overall use cases.</t>
  </si>
  <si>
    <t>Ycompany</t>
  </si>
  <si>
    <t>Electronic Claims Processing</t>
  </si>
  <si>
    <t>Assumptions based on - Services(partner workshop, car rental), Data, Documents, Payment, insurance category, existing notification system</t>
  </si>
  <si>
    <t>Considering every point discussion needs close to 2 hours. May require 2 rounds of talks.</t>
  </si>
  <si>
    <t>Assumptions made for 10 personas</t>
  </si>
  <si>
    <t>Based on 4 visual design</t>
  </si>
  <si>
    <t>POC: Document Storage on Azure File Storage</t>
  </si>
  <si>
    <t>POC: Payment Gateway Integration</t>
  </si>
  <si>
    <t>POC: Data Analysis Tools</t>
  </si>
  <si>
    <t>Microservices architecture:
&gt;&gt; DAL, ORM, BLL, Façade, WPI&gt;&gt;
&gt;&gt; Communication design for microservices</t>
  </si>
  <si>
    <t>Integration with MediatR framework</t>
  </si>
  <si>
    <t>two service for reporting and data analysis</t>
  </si>
  <si>
    <t>Trello board or JIRA board</t>
  </si>
  <si>
    <t>Screen: Application Header/Footer/SideBars
and menu</t>
  </si>
  <si>
    <t>Functionality: Notification Services</t>
  </si>
  <si>
    <t>Customer Portal</t>
  </si>
  <si>
    <t>Screen: Customer Registration Screen and Web API</t>
  </si>
  <si>
    <t>Account Activation web api/landing screen after activation.</t>
  </si>
  <si>
    <t>Registration</t>
  </si>
  <si>
    <t>Profile</t>
  </si>
  <si>
    <t>Customer Profile screen with option of update
&gt;&gt; Address
&gt;&gt; Password
&gt;&gt; Billing cycle
&gt;&gt; Saved cards, bank account etc.</t>
  </si>
  <si>
    <t>Claim</t>
  </si>
  <si>
    <t>Partner Woskhop Service Provider</t>
  </si>
  <si>
    <t>Partner Service Provider Search screen
Parner service provider screen
&gt;&gt; Show nearest work station
&gt;&gt; Search work station functionality by region, state, city etc.</t>
  </si>
  <si>
    <t>Claim Tracking</t>
  </si>
  <si>
    <t>Claim screen
&gt;&gt; Submit claim
&gt;&gt; Upload document
&gt;&gt; Link to display previous claims</t>
  </si>
  <si>
    <t>Claim Tracker Screen
&gt;&gt; List of all claims 
&gt;&gt; Option of pay online
&gt;&gt; Track active claim</t>
  </si>
  <si>
    <t>Internal Portal</t>
  </si>
  <si>
    <t>Admin Screen</t>
  </si>
  <si>
    <t xml:space="preserve">&gt;&gt;Adds users with different kind of roles and area
&gt;&gt;Assign role and area to existing user
</t>
  </si>
  <si>
    <t>User Maintenance</t>
  </si>
  <si>
    <t>Reporting</t>
  </si>
  <si>
    <t>Case manager
&gt;&gt;Report of all claim assigned to case manager</t>
  </si>
  <si>
    <t>Regional Manager Report
&gt;&gt; Should be able to see details of assigned region</t>
  </si>
  <si>
    <t>Top management report
&gt;&gt; Comparision report based on region</t>
  </si>
  <si>
    <t>Incident Management</t>
  </si>
  <si>
    <t>Surveyor Screen</t>
  </si>
  <si>
    <t>Task activity
&gt;&gt; Should be able to upload assessmennt of assignd incident
&gt;&gt; System will send the notification to claim adjuster</t>
  </si>
  <si>
    <t>Claim Adjuster Screen</t>
  </si>
  <si>
    <t>Claims List Screen
&gt;&gt; Claims details screen
&gt;&gt; See supported document and reports
&gt;&gt; Adjust the claim amout</t>
  </si>
  <si>
    <t>Case Manager Screen</t>
  </si>
  <si>
    <t>Claims List Screen
&gt;&gt; Case manager can also see the claims screen assigned to him
&gt;&gt; option to change claim adjuster and surveyor</t>
  </si>
  <si>
    <t>Auditors</t>
  </si>
  <si>
    <t>Claim screen - Full access, is able to see all claims</t>
  </si>
  <si>
    <t>Configurable eg. Last 6 months, 12 months etc.</t>
  </si>
  <si>
    <t>3rd Party Integration</t>
  </si>
  <si>
    <t>Integration Services</t>
  </si>
  <si>
    <t>Rest API(s) for integrating with 3rd party like
&gt;&gt; API for providing initial repair cost estimate
&gt;&gt; API for final charges of repairing
&gt;&gt; API for update repairing work in progress
&gt;&gt; API for tracking claim staus</t>
  </si>
  <si>
    <t>assumption based for cross platform calls.</t>
  </si>
  <si>
    <t>Alerts and Notifications</t>
  </si>
  <si>
    <t>Mail Notification Service</t>
  </si>
  <si>
    <t>Common mail notification service</t>
  </si>
  <si>
    <t>SMS Notification Service</t>
  </si>
  <si>
    <t xml:space="preserve">Send sms on customer phone or any number provided </t>
  </si>
  <si>
    <t>flexibility for Customer to provide saved mobile number or any new mobile number, upon validation with otp provided and new number will be saved for future reference.</t>
  </si>
  <si>
    <t>Document Management System</t>
  </si>
  <si>
    <t>Archive</t>
  </si>
  <si>
    <t>Task activity
&gt;&gt; Archive all the claims document after claim settlment
&gt;&gt; Archive all previous and current policy document
&gt;&gt; Archive all policy payment receipts</t>
  </si>
  <si>
    <t>Performance Tuning</t>
  </si>
  <si>
    <t>Code Refactor</t>
  </si>
  <si>
    <t>Code refactoring for memory leaks, code optimization and code refactoring</t>
  </si>
  <si>
    <t>Bug Fixtures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</si>
</sst>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_(* #,##0_);_(* \(#,##0\);_(* &quot;-&quot;??_);_(@_)"/>
    <numFmt numFmtId="166" formatCode="0.0"/>
    <numFmt numFmtId="167" formatCode="[$-409]d\-mmm;@"/>
  </numFmts>
  <fonts count="8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8"/>
      <color rgb="FFC0000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4" tint="-0.499984740745262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sz val="12"/>
      <color theme="8" tint="-0.249977111117893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6"/>
      <color theme="9" tint="-0.499984740745262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20"/>
      <color theme="9" tint="0.7999816888943144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70C0"/>
      <name val="Calibri"/>
      <family val="2"/>
      <scheme val="minor"/>
    </font>
    <font>
      <i/>
      <sz val="11"/>
      <color theme="8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i/>
      <sz val="12"/>
      <color rgb="FF0070C0"/>
      <name val="Calibri"/>
      <family val="2"/>
      <scheme val="minor"/>
    </font>
    <font>
      <sz val="14"/>
      <color rgb="FF0070C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theme="8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9"/>
      <name val="Calibri"/>
      <family val="2"/>
      <scheme val="minor"/>
    </font>
    <font>
      <b/>
      <sz val="12"/>
      <color theme="8" tint="-0.249977111117893"/>
      <name val="Calibri"/>
      <family val="2"/>
    </font>
    <font>
      <sz val="8"/>
      <color theme="0" tint="-0.14999847407452621"/>
      <name val="Calibri"/>
      <family val="2"/>
      <scheme val="minor"/>
    </font>
    <font>
      <sz val="9"/>
      <color theme="2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6"/>
      <color theme="1"/>
      <name val="Calibri"/>
      <family val="2"/>
    </font>
    <font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8" tint="-0.499984740745262"/>
      <name val="Calibri"/>
      <family val="2"/>
      <scheme val="minor"/>
    </font>
    <font>
      <b/>
      <sz val="12"/>
      <color theme="8" tint="-0.499984740745262"/>
      <name val="Calibri"/>
      <family val="2"/>
      <scheme val="minor"/>
    </font>
    <font>
      <sz val="11"/>
      <color rgb="FFC00000"/>
      <name val="Calibri"/>
      <family val="2"/>
    </font>
    <font>
      <sz val="10"/>
      <color rgb="FFC00000"/>
      <name val="Calibri"/>
      <family val="2"/>
    </font>
    <font>
      <sz val="11"/>
      <color rgb="FFC00000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4"/>
      <color theme="5" tint="-0.249977111117893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i/>
      <sz val="12"/>
      <color theme="7" tint="0.79998168889431442"/>
      <name val="Calibri"/>
      <family val="2"/>
      <scheme val="minor"/>
    </font>
    <font>
      <u/>
      <sz val="14"/>
      <color rgb="FF0070C0"/>
      <name val="Calibri"/>
      <family val="2"/>
      <scheme val="minor"/>
    </font>
    <font>
      <sz val="12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0"/>
      <color theme="8" tint="-0.499984740745262"/>
      <name val="Calibri"/>
      <family val="2"/>
      <scheme val="minor"/>
    </font>
    <font>
      <sz val="12"/>
      <color theme="4"/>
      <name val="Calibri"/>
      <family val="2"/>
      <scheme val="minor"/>
    </font>
    <font>
      <b/>
      <sz val="14"/>
      <color theme="4" tint="-0.499984740745262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2"/>
      <color theme="0" tint="-4.9989318521683403E-2"/>
      <name val="Calibri"/>
      <family val="2"/>
      <scheme val="minor"/>
    </font>
    <font>
      <sz val="14"/>
      <color theme="4" tint="0.59999389629810485"/>
      <name val="Calibri"/>
      <family val="2"/>
      <scheme val="minor"/>
    </font>
    <font>
      <b/>
      <sz val="12"/>
      <color rgb="FFFF00FF"/>
      <name val="Calibri"/>
      <family val="2"/>
    </font>
    <font>
      <b/>
      <sz val="12"/>
      <color rgb="FFFF00FF"/>
      <name val="Calibri"/>
      <family val="2"/>
      <scheme val="minor"/>
    </font>
    <font>
      <b/>
      <sz val="12"/>
      <color theme="10"/>
      <name val="Calibri"/>
      <family val="2"/>
      <scheme val="minor"/>
    </font>
    <font>
      <b/>
      <sz val="11"/>
      <color rgb="FFCC00CC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11"/>
      <color theme="8" tint="-0.249977111117893"/>
      <name val="Calibri"/>
      <family val="2"/>
      <scheme val="minor"/>
    </font>
    <font>
      <b/>
      <i/>
      <sz val="10"/>
      <color theme="8" tint="-0.249977111117893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u/>
      <sz val="18"/>
      <color rgb="FF00B0F0"/>
      <name val="Calibri"/>
      <family val="2"/>
      <scheme val="minor"/>
    </font>
    <font>
      <u/>
      <sz val="11"/>
      <color rgb="FF0070C0"/>
      <name val="Calibri"/>
      <family val="2"/>
      <scheme val="minor"/>
    </font>
    <font>
      <b/>
      <sz val="16"/>
      <name val="Calibri"/>
      <family val="2"/>
      <scheme val="minor"/>
    </font>
    <font>
      <b/>
      <sz val="16"/>
      <color theme="4"/>
      <name val="Calibri"/>
      <family val="2"/>
      <scheme val="minor"/>
    </font>
    <font>
      <b/>
      <sz val="16"/>
      <color theme="5"/>
      <name val="Calibri"/>
      <family val="2"/>
      <scheme val="minor"/>
    </font>
    <font>
      <sz val="16"/>
      <color theme="5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6"/>
      <color rgb="FFC00000"/>
      <name val="Calibri"/>
      <family val="2"/>
      <scheme val="minor"/>
    </font>
    <font>
      <b/>
      <u/>
      <sz val="14"/>
      <color rgb="FFFF00FF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sz val="8"/>
      <color rgb="FF0070C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5F9FD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2" tint="-0.25098422193060094"/>
        </stop>
        <stop position="1">
          <color theme="2" tint="-9.8025452436902985E-2"/>
        </stop>
      </gradientFill>
    </fill>
    <fill>
      <gradientFill degree="270">
        <stop position="0">
          <color theme="2" tint="-0.25098422193060094"/>
        </stop>
        <stop position="1">
          <color theme="2" tint="-9.8025452436902985E-2"/>
        </stop>
      </gradientFill>
    </fill>
    <fill>
      <patternFill patternType="solid">
        <fgColor theme="4" tint="0.79998168889431442"/>
        <bgColor auto="1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auto="1"/>
      </patternFill>
    </fill>
    <fill>
      <patternFill patternType="solid">
        <fgColor rgb="FFC0000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-0.249977111117893"/>
        <bgColor indexed="64"/>
      </patternFill>
    </fill>
    <fill>
      <gradientFill degree="270">
        <stop position="0">
          <color theme="7" tint="0.80001220740379042"/>
        </stop>
        <stop position="1">
          <color theme="7" tint="0.59999389629810485"/>
        </stop>
      </gradientFill>
    </fill>
    <fill>
      <patternFill patternType="solid">
        <fgColor theme="4" tint="0.59999389629810485"/>
        <bgColor indexed="64"/>
      </patternFill>
    </fill>
    <fill>
      <patternFill patternType="solid">
        <fgColor rgb="FFFFF6DD"/>
        <bgColor indexed="64"/>
      </patternFill>
    </fill>
    <fill>
      <patternFill patternType="solid">
        <fgColor theme="4" tint="0.39997558519241921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hair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/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0" fillId="0" borderId="0" applyNumberFormat="0" applyFill="0" applyBorder="0" applyAlignment="0" applyProtection="0"/>
  </cellStyleXfs>
  <cellXfs count="345">
    <xf numFmtId="0" fontId="0" fillId="0" borderId="0" xfId="0"/>
    <xf numFmtId="0" fontId="2" fillId="0" borderId="0" xfId="0" applyFont="1"/>
    <xf numFmtId="0" fontId="0" fillId="2" borderId="0" xfId="0" applyFill="1"/>
    <xf numFmtId="0" fontId="2" fillId="3" borderId="0" xfId="0" applyFont="1" applyFill="1"/>
    <xf numFmtId="0" fontId="0" fillId="3" borderId="0" xfId="0" applyFill="1"/>
    <xf numFmtId="0" fontId="8" fillId="2" borderId="0" xfId="0" applyFont="1" applyFill="1" applyAlignment="1" applyProtection="1">
      <alignment vertical="center" wrapText="1"/>
      <protection locked="0"/>
    </xf>
    <xf numFmtId="0" fontId="2" fillId="3" borderId="0" xfId="0" applyFont="1" applyFill="1" applyAlignment="1" applyProtection="1">
      <alignment vertical="top" wrapText="1"/>
    </xf>
    <xf numFmtId="0" fontId="2" fillId="3" borderId="1" xfId="0" applyFont="1" applyFill="1" applyBorder="1" applyAlignment="1" applyProtection="1">
      <alignment horizontal="center" vertical="top"/>
    </xf>
    <xf numFmtId="0" fontId="2" fillId="3" borderId="0" xfId="0" applyFont="1" applyFill="1" applyBorder="1" applyAlignment="1" applyProtection="1">
      <alignment horizontal="center" vertical="top"/>
    </xf>
    <xf numFmtId="0" fontId="2" fillId="3" borderId="0" xfId="0" applyFont="1" applyFill="1" applyAlignment="1" applyProtection="1">
      <alignment horizontal="center" vertical="top"/>
    </xf>
    <xf numFmtId="0" fontId="0" fillId="6" borderId="0" xfId="0" applyFill="1" applyBorder="1" applyAlignment="1" applyProtection="1">
      <alignment vertical="top"/>
    </xf>
    <xf numFmtId="0" fontId="0" fillId="6" borderId="0" xfId="0" applyFill="1" applyAlignment="1" applyProtection="1">
      <alignment vertical="top"/>
    </xf>
    <xf numFmtId="0" fontId="0" fillId="6" borderId="0" xfId="0" applyFill="1" applyAlignment="1" applyProtection="1">
      <alignment vertical="top" wrapText="1"/>
    </xf>
    <xf numFmtId="0" fontId="3" fillId="6" borderId="0" xfId="0" applyFont="1" applyFill="1" applyAlignment="1" applyProtection="1">
      <alignment vertical="top"/>
    </xf>
    <xf numFmtId="0" fontId="0" fillId="6" borderId="0" xfId="0" applyFill="1" applyBorder="1" applyAlignment="1" applyProtection="1">
      <alignment vertical="center"/>
    </xf>
    <xf numFmtId="0" fontId="0" fillId="6" borderId="0" xfId="0" applyFill="1" applyAlignment="1" applyProtection="1">
      <alignment vertical="center"/>
    </xf>
    <xf numFmtId="0" fontId="0" fillId="6" borderId="0" xfId="0" applyFill="1" applyAlignment="1" applyProtection="1">
      <alignment vertical="center" wrapText="1"/>
    </xf>
    <xf numFmtId="0" fontId="0" fillId="6" borderId="0" xfId="0" applyFill="1" applyAlignment="1" applyProtection="1">
      <alignment vertical="center"/>
      <protection locked="0"/>
    </xf>
    <xf numFmtId="2" fontId="0" fillId="6" borderId="0" xfId="0" applyNumberFormat="1" applyFill="1" applyBorder="1" applyAlignment="1" applyProtection="1">
      <alignment vertical="top"/>
    </xf>
    <xf numFmtId="0" fontId="0" fillId="6" borderId="0" xfId="0" applyFill="1" applyAlignment="1" applyProtection="1">
      <alignment vertical="top"/>
      <protection locked="0"/>
    </xf>
    <xf numFmtId="1" fontId="8" fillId="2" borderId="0" xfId="0" applyNumberFormat="1" applyFont="1" applyFill="1" applyAlignment="1" applyProtection="1">
      <alignment vertical="center"/>
    </xf>
    <xf numFmtId="1" fontId="4" fillId="6" borderId="0" xfId="0" applyNumberFormat="1" applyFont="1" applyFill="1" applyBorder="1" applyAlignment="1" applyProtection="1">
      <alignment vertical="top"/>
    </xf>
    <xf numFmtId="0" fontId="0" fillId="6" borderId="4" xfId="0" applyFill="1" applyBorder="1" applyAlignment="1" applyProtection="1">
      <alignment vertical="top"/>
      <protection locked="0"/>
    </xf>
    <xf numFmtId="0" fontId="0" fillId="6" borderId="4" xfId="0" applyFill="1" applyBorder="1" applyAlignment="1" applyProtection="1">
      <alignment vertical="top" wrapText="1"/>
      <protection locked="0"/>
    </xf>
    <xf numFmtId="9" fontId="0" fillId="6" borderId="4" xfId="0" applyNumberFormat="1" applyFill="1" applyBorder="1" applyAlignment="1" applyProtection="1">
      <alignment vertical="top"/>
      <protection locked="0"/>
    </xf>
    <xf numFmtId="2" fontId="0" fillId="6" borderId="4" xfId="0" applyNumberFormat="1" applyFill="1" applyBorder="1" applyAlignment="1" applyProtection="1">
      <alignment vertical="top"/>
      <protection locked="0"/>
    </xf>
    <xf numFmtId="0" fontId="11" fillId="6" borderId="0" xfId="0" applyFont="1" applyFill="1" applyAlignment="1" applyProtection="1">
      <alignment vertical="top" wrapText="1"/>
    </xf>
    <xf numFmtId="0" fontId="0" fillId="6" borderId="0" xfId="0" applyFill="1" applyAlignment="1" applyProtection="1">
      <alignment vertical="top" wrapText="1"/>
      <protection locked="0"/>
    </xf>
    <xf numFmtId="0" fontId="0" fillId="4" borderId="0" xfId="0" applyFill="1" applyAlignment="1" applyProtection="1">
      <alignment vertical="top"/>
    </xf>
    <xf numFmtId="0" fontId="9" fillId="4" borderId="0" xfId="0" applyFont="1" applyFill="1" applyAlignment="1" applyProtection="1">
      <alignment vertical="top"/>
    </xf>
    <xf numFmtId="2" fontId="0" fillId="4" borderId="0" xfId="0" applyNumberFormat="1" applyFill="1" applyAlignment="1" applyProtection="1">
      <alignment vertical="top"/>
    </xf>
    <xf numFmtId="0" fontId="0" fillId="4" borderId="0" xfId="0" applyFill="1" applyAlignment="1" applyProtection="1">
      <alignment vertical="top" wrapText="1"/>
    </xf>
    <xf numFmtId="0" fontId="0" fillId="2" borderId="0" xfId="0" applyFill="1" applyAlignment="1" applyProtection="1">
      <alignment vertical="center"/>
    </xf>
    <xf numFmtId="0" fontId="8" fillId="2" borderId="0" xfId="0" applyFont="1" applyFill="1" applyAlignment="1" applyProtection="1">
      <alignment vertical="center"/>
    </xf>
    <xf numFmtId="2" fontId="7" fillId="2" borderId="0" xfId="0" applyNumberFormat="1" applyFont="1" applyFill="1" applyAlignment="1" applyProtection="1">
      <alignment vertical="center"/>
    </xf>
    <xf numFmtId="0" fontId="7" fillId="2" borderId="0" xfId="0" applyFont="1" applyFill="1" applyAlignment="1" applyProtection="1">
      <alignment vertical="center"/>
    </xf>
    <xf numFmtId="0" fontId="7" fillId="2" borderId="0" xfId="0" applyFont="1" applyFill="1" applyAlignment="1" applyProtection="1">
      <alignment vertical="center" wrapText="1"/>
    </xf>
    <xf numFmtId="0" fontId="0" fillId="6" borderId="4" xfId="0" applyFill="1" applyBorder="1" applyAlignment="1" applyProtection="1">
      <alignment vertical="top" wrapText="1"/>
    </xf>
    <xf numFmtId="0" fontId="0" fillId="6" borderId="8" xfId="0" applyFill="1" applyBorder="1" applyAlignment="1" applyProtection="1">
      <alignment vertical="top" wrapText="1"/>
      <protection locked="0"/>
    </xf>
    <xf numFmtId="0" fontId="0" fillId="8" borderId="0" xfId="0" applyFill="1" applyAlignment="1" applyProtection="1">
      <alignment vertical="top"/>
    </xf>
    <xf numFmtId="0" fontId="0" fillId="8" borderId="0" xfId="0" applyFill="1" applyAlignment="1" applyProtection="1">
      <alignment vertical="top" wrapText="1"/>
    </xf>
    <xf numFmtId="0" fontId="2" fillId="8" borderId="0" xfId="0" applyFont="1" applyFill="1" applyBorder="1" applyAlignment="1" applyProtection="1">
      <alignment vertical="top"/>
    </xf>
    <xf numFmtId="9" fontId="14" fillId="8" borderId="2" xfId="0" applyNumberFormat="1" applyFont="1" applyFill="1" applyBorder="1" applyAlignment="1" applyProtection="1">
      <alignment vertical="top"/>
    </xf>
    <xf numFmtId="0" fontId="0" fillId="9" borderId="0" xfId="0" applyFill="1" applyAlignment="1" applyProtection="1">
      <alignment vertical="top"/>
    </xf>
    <xf numFmtId="9" fontId="0" fillId="5" borderId="10" xfId="0" applyNumberFormat="1" applyFill="1" applyBorder="1" applyAlignment="1" applyProtection="1">
      <alignment horizontal="right" vertical="top"/>
      <protection locked="0"/>
    </xf>
    <xf numFmtId="0" fontId="0" fillId="5" borderId="10" xfId="0" applyFill="1" applyBorder="1" applyAlignment="1" applyProtection="1">
      <alignment horizontal="right" vertical="top"/>
      <protection locked="0"/>
    </xf>
    <xf numFmtId="9" fontId="0" fillId="5" borderId="10" xfId="0" applyNumberFormat="1" applyFill="1" applyBorder="1" applyAlignment="1" applyProtection="1">
      <alignment horizontal="left" vertical="top"/>
      <protection locked="0"/>
    </xf>
    <xf numFmtId="0" fontId="0" fillId="5" borderId="10" xfId="0" applyFill="1" applyBorder="1" applyAlignment="1" applyProtection="1">
      <alignment horizontal="left" vertical="top"/>
      <protection locked="0"/>
    </xf>
    <xf numFmtId="0" fontId="2" fillId="8" borderId="0" xfId="0" applyFont="1" applyFill="1" applyAlignment="1" applyProtection="1">
      <alignment horizontal="center" vertical="top"/>
    </xf>
    <xf numFmtId="0" fontId="2" fillId="8" borderId="17" xfId="0" applyFont="1" applyFill="1" applyBorder="1" applyAlignment="1" applyProtection="1">
      <alignment horizontal="center" vertical="top"/>
    </xf>
    <xf numFmtId="0" fontId="0" fillId="8" borderId="1" xfId="0" applyFill="1" applyBorder="1" applyAlignment="1" applyProtection="1">
      <alignment vertical="top"/>
    </xf>
    <xf numFmtId="0" fontId="2" fillId="3" borderId="17" xfId="0" applyFont="1" applyFill="1" applyBorder="1" applyAlignment="1" applyProtection="1">
      <alignment horizontal="center" vertical="top"/>
    </xf>
    <xf numFmtId="0" fontId="2" fillId="3" borderId="19" xfId="0" applyFont="1" applyFill="1" applyBorder="1" applyAlignment="1" applyProtection="1">
      <alignment horizontal="center" vertical="top"/>
    </xf>
    <xf numFmtId="166" fontId="0" fillId="5" borderId="10" xfId="0" applyNumberFormat="1" applyFill="1" applyBorder="1" applyAlignment="1" applyProtection="1">
      <alignment horizontal="center" vertical="top"/>
      <protection locked="0"/>
    </xf>
    <xf numFmtId="166" fontId="0" fillId="5" borderId="10" xfId="0" applyNumberFormat="1" applyFill="1" applyBorder="1" applyAlignment="1" applyProtection="1">
      <alignment horizontal="left" vertical="top"/>
      <protection locked="0"/>
    </xf>
    <xf numFmtId="0" fontId="6" fillId="10" borderId="0" xfId="0" applyFont="1" applyFill="1" applyBorder="1" applyAlignment="1" applyProtection="1">
      <alignment vertical="center"/>
      <protection locked="0"/>
    </xf>
    <xf numFmtId="0" fontId="5" fillId="10" borderId="0" xfId="0" applyFont="1" applyFill="1" applyBorder="1" applyAlignment="1" applyProtection="1">
      <alignment vertical="center" wrapText="1"/>
      <protection locked="0"/>
    </xf>
    <xf numFmtId="0" fontId="5" fillId="10" borderId="0" xfId="0" applyFont="1" applyFill="1" applyBorder="1" applyAlignment="1" applyProtection="1">
      <alignment vertical="center" wrapText="1"/>
    </xf>
    <xf numFmtId="0" fontId="5" fillId="10" borderId="0" xfId="0" applyFont="1" applyFill="1" applyBorder="1" applyAlignment="1" applyProtection="1">
      <alignment vertical="center"/>
    </xf>
    <xf numFmtId="0" fontId="0" fillId="4" borderId="0" xfId="0" applyFill="1" applyBorder="1" applyAlignment="1" applyProtection="1">
      <alignment vertical="top"/>
    </xf>
    <xf numFmtId="0" fontId="0" fillId="6" borderId="0" xfId="0" applyFill="1" applyBorder="1" applyAlignment="1" applyProtection="1">
      <alignment vertical="top" wrapText="1"/>
    </xf>
    <xf numFmtId="0" fontId="0" fillId="10" borderId="0" xfId="0" applyFill="1" applyBorder="1" applyAlignment="1" applyProtection="1">
      <alignment vertical="top"/>
    </xf>
    <xf numFmtId="0" fontId="0" fillId="10" borderId="0" xfId="0" applyFill="1" applyBorder="1" applyAlignment="1" applyProtection="1">
      <alignment vertical="top" wrapText="1"/>
    </xf>
    <xf numFmtId="0" fontId="0" fillId="4" borderId="0" xfId="0" applyFill="1" applyAlignment="1" applyProtection="1">
      <alignment vertical="top"/>
      <protection locked="0"/>
    </xf>
    <xf numFmtId="0" fontId="0" fillId="4" borderId="0" xfId="0" applyFill="1" applyAlignment="1" applyProtection="1">
      <alignment vertical="top" wrapText="1"/>
      <protection locked="0"/>
    </xf>
    <xf numFmtId="1" fontId="0" fillId="4" borderId="13" xfId="0" applyNumberFormat="1" applyFill="1" applyBorder="1" applyAlignment="1" applyProtection="1">
      <alignment vertical="top"/>
    </xf>
    <xf numFmtId="1" fontId="18" fillId="4" borderId="0" xfId="0" applyNumberFormat="1" applyFont="1" applyFill="1" applyAlignment="1" applyProtection="1">
      <alignment vertical="top"/>
    </xf>
    <xf numFmtId="0" fontId="9" fillId="4" borderId="0" xfId="0" applyFont="1" applyFill="1" applyAlignment="1" applyProtection="1">
      <alignment vertical="top"/>
      <protection locked="0"/>
    </xf>
    <xf numFmtId="0" fontId="0" fillId="4" borderId="0" xfId="0" applyFont="1" applyFill="1" applyAlignment="1" applyProtection="1">
      <alignment vertical="top"/>
      <protection locked="0"/>
    </xf>
    <xf numFmtId="9" fontId="14" fillId="8" borderId="0" xfId="0" applyNumberFormat="1" applyFont="1" applyFill="1" applyBorder="1" applyAlignment="1" applyProtection="1">
      <alignment vertical="top"/>
    </xf>
    <xf numFmtId="0" fontId="2" fillId="2" borderId="0" xfId="0" applyFont="1" applyFill="1" applyAlignment="1">
      <alignment horizontal="right"/>
    </xf>
    <xf numFmtId="0" fontId="2" fillId="2" borderId="0" xfId="0" applyFont="1" applyFill="1" applyAlignment="1">
      <alignment horizontal="right" vertical="center"/>
    </xf>
    <xf numFmtId="167" fontId="27" fillId="2" borderId="20" xfId="0" applyNumberFormat="1" applyFont="1" applyFill="1" applyBorder="1" applyAlignment="1">
      <alignment horizontal="center" textRotation="90"/>
    </xf>
    <xf numFmtId="167" fontId="27" fillId="2" borderId="3" xfId="0" applyNumberFormat="1" applyFont="1" applyFill="1" applyBorder="1" applyAlignment="1">
      <alignment horizontal="center" textRotation="90"/>
    </xf>
    <xf numFmtId="167" fontId="27" fillId="2" borderId="21" xfId="0" applyNumberFormat="1" applyFont="1" applyFill="1" applyBorder="1" applyAlignment="1">
      <alignment horizontal="center" textRotation="90"/>
    </xf>
    <xf numFmtId="0" fontId="0" fillId="4" borderId="0" xfId="0" applyFill="1" applyAlignment="1" applyProtection="1">
      <alignment horizontal="right" vertical="top"/>
    </xf>
    <xf numFmtId="0" fontId="20" fillId="4" borderId="0" xfId="3" applyFill="1" applyAlignment="1" applyProtection="1">
      <alignment vertical="top" wrapText="1"/>
    </xf>
    <xf numFmtId="0" fontId="0" fillId="3" borderId="0" xfId="0" applyFont="1" applyFill="1" applyAlignment="1" applyProtection="1">
      <alignment vertical="top" wrapText="1"/>
    </xf>
    <xf numFmtId="0" fontId="15" fillId="7" borderId="0" xfId="0" applyFont="1" applyFill="1" applyBorder="1" applyAlignment="1" applyProtection="1">
      <alignment horizontal="center" vertical="top"/>
    </xf>
    <xf numFmtId="0" fontId="15" fillId="7" borderId="0" xfId="0" applyFont="1" applyFill="1" applyAlignment="1" applyProtection="1">
      <alignment horizontal="center" vertical="center"/>
    </xf>
    <xf numFmtId="0" fontId="0" fillId="6" borderId="0" xfId="0" applyFill="1" applyBorder="1" applyAlignment="1" applyProtection="1">
      <alignment horizontal="center" vertical="top"/>
    </xf>
    <xf numFmtId="0" fontId="27" fillId="7" borderId="0" xfId="0" applyFont="1" applyFill="1" applyAlignment="1" applyProtection="1">
      <alignment horizontal="center" vertical="center"/>
    </xf>
    <xf numFmtId="0" fontId="27" fillId="7" borderId="0" xfId="0" applyFont="1" applyFill="1" applyBorder="1" applyAlignment="1" applyProtection="1">
      <alignment horizontal="center" vertical="center"/>
    </xf>
    <xf numFmtId="0" fontId="28" fillId="7" borderId="0" xfId="0" applyFont="1" applyFill="1" applyBorder="1" applyAlignment="1" applyProtection="1">
      <alignment horizontal="center" vertical="center"/>
    </xf>
    <xf numFmtId="0" fontId="29" fillId="7" borderId="0" xfId="0" applyFont="1" applyFill="1" applyAlignment="1" applyProtection="1">
      <alignment horizontal="center" vertical="center"/>
    </xf>
    <xf numFmtId="0" fontId="29" fillId="7" borderId="0" xfId="0" applyFont="1" applyFill="1" applyBorder="1" applyAlignment="1" applyProtection="1">
      <alignment horizontal="center" vertical="top"/>
    </xf>
    <xf numFmtId="0" fontId="28" fillId="7" borderId="0" xfId="0" applyFont="1" applyFill="1" applyBorder="1" applyAlignment="1" applyProtection="1">
      <alignment horizontal="center" vertical="top"/>
    </xf>
    <xf numFmtId="0" fontId="8" fillId="13" borderId="0" xfId="0" applyFont="1" applyFill="1" applyAlignment="1" applyProtection="1">
      <alignment vertical="center" wrapText="1"/>
      <protection locked="0"/>
    </xf>
    <xf numFmtId="0" fontId="8" fillId="13" borderId="0" xfId="0" applyFont="1" applyFill="1" applyAlignment="1" applyProtection="1">
      <alignment vertical="center"/>
    </xf>
    <xf numFmtId="2" fontId="7" fillId="13" borderId="0" xfId="0" applyNumberFormat="1" applyFont="1" applyFill="1" applyAlignment="1" applyProtection="1">
      <alignment vertical="center"/>
    </xf>
    <xf numFmtId="0" fontId="7" fillId="13" borderId="0" xfId="0" applyFont="1" applyFill="1" applyAlignment="1" applyProtection="1">
      <alignment vertical="center"/>
    </xf>
    <xf numFmtId="0" fontId="7" fillId="13" borderId="0" xfId="0" applyFont="1" applyFill="1" applyAlignment="1" applyProtection="1">
      <alignment vertical="center" wrapText="1"/>
    </xf>
    <xf numFmtId="1" fontId="30" fillId="13" borderId="0" xfId="0" applyNumberFormat="1" applyFont="1" applyFill="1" applyAlignment="1" applyProtection="1">
      <alignment vertical="center"/>
      <protection locked="0"/>
    </xf>
    <xf numFmtId="0" fontId="31" fillId="11" borderId="0" xfId="0" applyFont="1" applyFill="1" applyBorder="1" applyAlignment="1" applyProtection="1">
      <alignment horizontal="center" vertical="top" textRotation="90"/>
    </xf>
    <xf numFmtId="0" fontId="31" fillId="11" borderId="0" xfId="0" applyFont="1" applyFill="1" applyAlignment="1" applyProtection="1">
      <alignment horizontal="center" vertical="top" textRotation="90"/>
    </xf>
    <xf numFmtId="0" fontId="0" fillId="14" borderId="0" xfId="0" applyFill="1" applyAlignment="1" applyProtection="1">
      <alignment vertical="top"/>
    </xf>
    <xf numFmtId="0" fontId="12" fillId="14" borderId="0" xfId="0" applyFont="1" applyFill="1" applyAlignment="1" applyProtection="1">
      <alignment vertical="top"/>
    </xf>
    <xf numFmtId="0" fontId="24" fillId="14" borderId="0" xfId="0" applyFont="1" applyFill="1" applyBorder="1" applyAlignment="1" applyProtection="1">
      <alignment vertical="center"/>
    </xf>
    <xf numFmtId="165" fontId="23" fillId="14" borderId="0" xfId="1" applyNumberFormat="1" applyFont="1" applyFill="1" applyAlignment="1" applyProtection="1">
      <alignment horizontal="left" vertical="center"/>
    </xf>
    <xf numFmtId="0" fontId="0" fillId="16" borderId="0" xfId="0" applyFill="1"/>
    <xf numFmtId="0" fontId="0" fillId="4" borderId="0" xfId="0" applyFill="1" applyBorder="1" applyAlignment="1" applyProtection="1">
      <alignment vertical="top" wrapText="1"/>
      <protection locked="0"/>
    </xf>
    <xf numFmtId="166" fontId="0" fillId="5" borderId="10" xfId="0" applyNumberFormat="1" applyFill="1" applyBorder="1" applyAlignment="1" applyProtection="1">
      <alignment horizontal="right" vertical="top"/>
      <protection locked="0"/>
    </xf>
    <xf numFmtId="0" fontId="22" fillId="4" borderId="0" xfId="0" applyFont="1" applyFill="1" applyBorder="1" applyAlignment="1" applyProtection="1">
      <alignment vertical="top"/>
    </xf>
    <xf numFmtId="0" fontId="0" fillId="4" borderId="0" xfId="0" applyFill="1" applyBorder="1" applyAlignment="1" applyProtection="1">
      <alignment vertical="top" wrapText="1"/>
    </xf>
    <xf numFmtId="166" fontId="0" fillId="4" borderId="13" xfId="0" applyNumberFormat="1" applyFill="1" applyBorder="1" applyAlignment="1" applyProtection="1">
      <alignment vertical="top"/>
    </xf>
    <xf numFmtId="9" fontId="0" fillId="14" borderId="10" xfId="0" applyNumberFormat="1" applyFill="1" applyBorder="1" applyAlignment="1" applyProtection="1">
      <alignment horizontal="right" vertical="top"/>
      <protection locked="0"/>
    </xf>
    <xf numFmtId="166" fontId="0" fillId="14" borderId="10" xfId="0" applyNumberFormat="1" applyFill="1" applyBorder="1" applyAlignment="1" applyProtection="1">
      <alignment horizontal="right" vertical="top"/>
      <protection locked="0"/>
    </xf>
    <xf numFmtId="0" fontId="2" fillId="4" borderId="15" xfId="0" applyFont="1" applyFill="1" applyBorder="1" applyAlignment="1" applyProtection="1">
      <alignment horizontal="right" vertical="top" wrapText="1"/>
    </xf>
    <xf numFmtId="0" fontId="2" fillId="4" borderId="22" xfId="0" applyFont="1" applyFill="1" applyBorder="1" applyAlignment="1" applyProtection="1">
      <alignment horizontal="right" vertical="top"/>
    </xf>
    <xf numFmtId="15" fontId="0" fillId="4" borderId="10" xfId="0" applyNumberFormat="1" applyFill="1" applyBorder="1" applyAlignment="1" applyProtection="1">
      <alignment vertical="top" wrapText="1"/>
    </xf>
    <xf numFmtId="15" fontId="0" fillId="4" borderId="13" xfId="0" applyNumberFormat="1" applyFill="1" applyBorder="1" applyAlignment="1" applyProtection="1">
      <alignment vertical="top" wrapText="1"/>
    </xf>
    <xf numFmtId="15" fontId="0" fillId="4" borderId="18" xfId="0" applyNumberFormat="1" applyFill="1" applyBorder="1" applyAlignment="1" applyProtection="1">
      <alignment vertical="top" wrapText="1"/>
    </xf>
    <xf numFmtId="15" fontId="2" fillId="5" borderId="13" xfId="0" applyNumberFormat="1" applyFont="1" applyFill="1" applyBorder="1" applyAlignment="1" applyProtection="1">
      <alignment vertical="top" wrapText="1"/>
      <protection locked="0"/>
    </xf>
    <xf numFmtId="0" fontId="18" fillId="4" borderId="0" xfId="0" applyFont="1" applyFill="1" applyBorder="1" applyAlignment="1" applyProtection="1">
      <alignment horizontal="right" vertical="top"/>
    </xf>
    <xf numFmtId="0" fontId="18" fillId="4" borderId="0" xfId="0" applyFont="1" applyFill="1" applyBorder="1" applyAlignment="1" applyProtection="1">
      <alignment vertical="top"/>
    </xf>
    <xf numFmtId="0" fontId="36" fillId="19" borderId="0" xfId="0" applyFont="1" applyFill="1" applyBorder="1" applyAlignment="1" applyProtection="1">
      <alignment horizontal="right" vertical="top"/>
    </xf>
    <xf numFmtId="0" fontId="36" fillId="19" borderId="0" xfId="0" applyFont="1" applyFill="1" applyBorder="1" applyAlignment="1" applyProtection="1">
      <alignment vertical="top"/>
    </xf>
    <xf numFmtId="0" fontId="36" fillId="19" borderId="0" xfId="0" applyFont="1" applyFill="1" applyBorder="1" applyAlignment="1" applyProtection="1">
      <alignment horizontal="right" vertical="center"/>
    </xf>
    <xf numFmtId="15" fontId="2" fillId="4" borderId="12" xfId="0" applyNumberFormat="1" applyFont="1" applyFill="1" applyBorder="1" applyAlignment="1" applyProtection="1">
      <alignment vertical="top" wrapText="1"/>
    </xf>
    <xf numFmtId="166" fontId="0" fillId="5" borderId="12" xfId="0" applyNumberFormat="1" applyFill="1" applyBorder="1" applyAlignment="1" applyProtection="1">
      <alignment horizontal="right" vertical="top"/>
      <protection locked="0"/>
    </xf>
    <xf numFmtId="166" fontId="0" fillId="14" borderId="12" xfId="0" applyNumberFormat="1" applyFill="1" applyBorder="1" applyAlignment="1" applyProtection="1">
      <alignment horizontal="right" vertical="top"/>
      <protection locked="0"/>
    </xf>
    <xf numFmtId="166" fontId="0" fillId="5" borderId="12" xfId="0" applyNumberFormat="1" applyFill="1" applyBorder="1" applyAlignment="1" applyProtection="1">
      <alignment horizontal="left" vertical="top"/>
      <protection locked="0"/>
    </xf>
    <xf numFmtId="0" fontId="17" fillId="19" borderId="0" xfId="0" applyFont="1" applyFill="1" applyBorder="1" applyAlignment="1" applyProtection="1">
      <alignment vertical="top"/>
    </xf>
    <xf numFmtId="0" fontId="37" fillId="19" borderId="0" xfId="0" applyFont="1" applyFill="1" applyBorder="1" applyAlignment="1" applyProtection="1">
      <alignment vertical="top"/>
    </xf>
    <xf numFmtId="1" fontId="38" fillId="19" borderId="0" xfId="0" applyNumberFormat="1" applyFont="1" applyFill="1" applyBorder="1" applyAlignment="1" applyProtection="1">
      <alignment vertical="top"/>
    </xf>
    <xf numFmtId="0" fontId="0" fillId="2" borderId="0" xfId="0" applyFill="1" applyAlignment="1">
      <alignment horizontal="right"/>
    </xf>
    <xf numFmtId="0" fontId="0" fillId="11" borderId="0" xfId="0" applyFill="1"/>
    <xf numFmtId="0" fontId="2" fillId="11" borderId="0" xfId="0" applyFont="1" applyFill="1" applyBorder="1" applyAlignment="1">
      <alignment horizontal="right"/>
    </xf>
    <xf numFmtId="166" fontId="0" fillId="0" borderId="0" xfId="0" applyNumberFormat="1"/>
    <xf numFmtId="0" fontId="0" fillId="20" borderId="0" xfId="0" applyFill="1"/>
    <xf numFmtId="0" fontId="0" fillId="18" borderId="0" xfId="0" applyFill="1"/>
    <xf numFmtId="0" fontId="0" fillId="21" borderId="0" xfId="0" applyFill="1"/>
    <xf numFmtId="0" fontId="0" fillId="17" borderId="0" xfId="0" applyFill="1"/>
    <xf numFmtId="0" fontId="0" fillId="22" borderId="0" xfId="0" applyFill="1"/>
    <xf numFmtId="0" fontId="40" fillId="0" borderId="0" xfId="0" applyFont="1" applyAlignment="1">
      <alignment vertical="top" wrapText="1"/>
    </xf>
    <xf numFmtId="0" fontId="41" fillId="0" borderId="0" xfId="0" applyFont="1" applyAlignment="1">
      <alignment horizontal="right"/>
    </xf>
    <xf numFmtId="0" fontId="39" fillId="0" borderId="0" xfId="0" applyFont="1" applyAlignment="1">
      <alignment vertical="top"/>
    </xf>
    <xf numFmtId="1" fontId="0" fillId="6" borderId="4" xfId="0" applyNumberFormat="1" applyFill="1" applyBorder="1" applyAlignment="1" applyProtection="1">
      <alignment vertical="top"/>
      <protection locked="0"/>
    </xf>
    <xf numFmtId="0" fontId="17" fillId="8" borderId="0" xfId="0" applyFont="1" applyFill="1" applyAlignment="1" applyProtection="1">
      <alignment vertical="top"/>
    </xf>
    <xf numFmtId="0" fontId="0" fillId="4" borderId="0" xfId="0" applyFill="1" applyAlignment="1" applyProtection="1">
      <alignment horizontal="right" vertical="top" wrapText="1"/>
    </xf>
    <xf numFmtId="0" fontId="0" fillId="5" borderId="0" xfId="0" applyFill="1" applyAlignment="1" applyProtection="1">
      <alignment horizontal="right" vertical="top" wrapText="1"/>
      <protection locked="0"/>
    </xf>
    <xf numFmtId="0" fontId="43" fillId="4" borderId="0" xfId="0" applyFont="1" applyFill="1" applyAlignment="1" applyProtection="1">
      <alignment vertical="top"/>
    </xf>
    <xf numFmtId="0" fontId="42" fillId="4" borderId="0" xfId="0" applyFont="1" applyFill="1" applyAlignment="1" applyProtection="1">
      <alignment horizontal="right" vertical="top" wrapText="1"/>
    </xf>
    <xf numFmtId="165" fontId="45" fillId="14" borderId="0" xfId="1" applyNumberFormat="1" applyFont="1" applyFill="1" applyAlignment="1" applyProtection="1">
      <alignment horizontal="left" vertical="center"/>
    </xf>
    <xf numFmtId="1" fontId="0" fillId="6" borderId="4" xfId="2" applyNumberFormat="1" applyFont="1" applyFill="1" applyBorder="1" applyAlignment="1" applyProtection="1">
      <alignment vertical="top"/>
      <protection locked="0"/>
    </xf>
    <xf numFmtId="0" fontId="33" fillId="9" borderId="0" xfId="0" applyFont="1" applyFill="1" applyAlignment="1" applyProtection="1">
      <alignment horizontal="right" vertical="center"/>
    </xf>
    <xf numFmtId="0" fontId="33" fillId="9" borderId="0" xfId="0" applyFont="1" applyFill="1" applyAlignment="1" applyProtection="1">
      <alignment vertical="center"/>
    </xf>
    <xf numFmtId="0" fontId="0" fillId="23" borderId="0" xfId="0" applyFill="1" applyAlignment="1" applyProtection="1">
      <alignment vertical="top"/>
    </xf>
    <xf numFmtId="0" fontId="12" fillId="23" borderId="0" xfId="0" applyFont="1" applyFill="1" applyAlignment="1" applyProtection="1">
      <alignment vertical="top"/>
    </xf>
    <xf numFmtId="0" fontId="13" fillId="15" borderId="0" xfId="0" applyFont="1" applyFill="1" applyAlignment="1" applyProtection="1">
      <alignment vertical="center"/>
    </xf>
    <xf numFmtId="0" fontId="50" fillId="14" borderId="4" xfId="0" applyFont="1" applyFill="1" applyBorder="1" applyAlignment="1" applyProtection="1">
      <alignment horizontal="right" vertical="center"/>
    </xf>
    <xf numFmtId="9" fontId="0" fillId="5" borderId="0" xfId="2" applyFont="1" applyFill="1" applyAlignment="1" applyProtection="1">
      <alignment vertical="center"/>
      <protection locked="0"/>
    </xf>
    <xf numFmtId="9" fontId="0" fillId="5" borderId="16" xfId="2" applyFont="1" applyFill="1" applyBorder="1" applyAlignment="1" applyProtection="1">
      <alignment vertical="center"/>
      <protection locked="0"/>
    </xf>
    <xf numFmtId="0" fontId="33" fillId="9" borderId="0" xfId="3" applyFont="1" applyFill="1" applyAlignment="1" applyProtection="1">
      <alignment horizontal="right" vertical="top"/>
    </xf>
    <xf numFmtId="0" fontId="33" fillId="9" borderId="0" xfId="0" applyFont="1" applyFill="1" applyAlignment="1" applyProtection="1">
      <alignment horizontal="left" vertical="top" indent="1"/>
    </xf>
    <xf numFmtId="0" fontId="0" fillId="5" borderId="0" xfId="0" applyFill="1" applyProtection="1">
      <protection locked="0"/>
    </xf>
    <xf numFmtId="0" fontId="0" fillId="5" borderId="0" xfId="0" applyFont="1" applyFill="1" applyProtection="1">
      <protection locked="0"/>
    </xf>
    <xf numFmtId="0" fontId="2" fillId="4" borderId="0" xfId="0" applyFont="1" applyFill="1" applyAlignment="1">
      <alignment horizontal="right"/>
    </xf>
    <xf numFmtId="0" fontId="0" fillId="4" borderId="0" xfId="0" applyFill="1" applyBorder="1" applyAlignment="1">
      <alignment horizontal="right"/>
    </xf>
    <xf numFmtId="0" fontId="0" fillId="4" borderId="0" xfId="0" applyFont="1" applyFill="1" applyBorder="1" applyAlignment="1">
      <alignment horizontal="right"/>
    </xf>
    <xf numFmtId="0" fontId="21" fillId="4" borderId="0" xfId="0" applyFont="1" applyFill="1" applyAlignment="1" applyProtection="1">
      <alignment horizontal="left" vertical="top"/>
    </xf>
    <xf numFmtId="0" fontId="42" fillId="4" borderId="0" xfId="0" applyFont="1" applyFill="1" applyAlignment="1" applyProtection="1">
      <alignment horizontal="right" vertical="top"/>
    </xf>
    <xf numFmtId="0" fontId="42" fillId="4" borderId="0" xfId="0" applyFont="1" applyFill="1" applyAlignment="1" applyProtection="1">
      <alignment horizontal="left" vertical="top"/>
    </xf>
    <xf numFmtId="9" fontId="0" fillId="2" borderId="14" xfId="2" applyFont="1" applyFill="1" applyBorder="1" applyAlignment="1" applyProtection="1">
      <alignment horizontal="left"/>
    </xf>
    <xf numFmtId="9" fontId="0" fillId="5" borderId="0" xfId="0" applyNumberFormat="1" applyFill="1" applyBorder="1" applyProtection="1">
      <protection locked="0"/>
    </xf>
    <xf numFmtId="0" fontId="51" fillId="4" borderId="0" xfId="0" applyFont="1" applyFill="1" applyBorder="1" applyAlignment="1">
      <alignment horizontal="right"/>
    </xf>
    <xf numFmtId="0" fontId="0" fillId="9" borderId="1" xfId="0" applyFill="1" applyBorder="1" applyAlignment="1" applyProtection="1">
      <alignment vertical="top"/>
    </xf>
    <xf numFmtId="164" fontId="8" fillId="2" borderId="0" xfId="1" applyFont="1" applyFill="1" applyAlignment="1" applyProtection="1">
      <alignment vertical="center"/>
    </xf>
    <xf numFmtId="164" fontId="0" fillId="6" borderId="4" xfId="1" applyFont="1" applyFill="1" applyBorder="1" applyAlignment="1" applyProtection="1">
      <alignment vertical="top"/>
      <protection locked="0"/>
    </xf>
    <xf numFmtId="164" fontId="0" fillId="12" borderId="4" xfId="1" applyFont="1" applyFill="1" applyBorder="1" applyAlignment="1" applyProtection="1">
      <alignment vertical="top"/>
    </xf>
    <xf numFmtId="2" fontId="0" fillId="2" borderId="4" xfId="0" applyNumberFormat="1" applyFill="1" applyBorder="1" applyAlignment="1" applyProtection="1">
      <alignment vertical="top"/>
    </xf>
    <xf numFmtId="0" fontId="54" fillId="0" borderId="0" xfId="0" applyFont="1" applyAlignment="1">
      <alignment vertical="top"/>
    </xf>
    <xf numFmtId="0" fontId="0" fillId="0" borderId="0" xfId="0" applyAlignment="1">
      <alignment vertical="top"/>
    </xf>
    <xf numFmtId="0" fontId="8" fillId="2" borderId="0" xfId="0" applyFont="1" applyFill="1" applyAlignment="1" applyProtection="1">
      <alignment horizontal="left" vertical="center"/>
    </xf>
    <xf numFmtId="0" fontId="8" fillId="2" borderId="0" xfId="0" applyFont="1" applyFill="1" applyAlignment="1" applyProtection="1">
      <alignment vertical="center" wrapText="1"/>
    </xf>
    <xf numFmtId="1" fontId="55" fillId="2" borderId="0" xfId="0" applyNumberFormat="1" applyFont="1" applyFill="1" applyAlignment="1" applyProtection="1">
      <alignment vertical="center"/>
    </xf>
    <xf numFmtId="0" fontId="55" fillId="2" borderId="0" xfId="0" applyFont="1" applyFill="1" applyAlignment="1" applyProtection="1">
      <alignment horizontal="left" vertical="center"/>
    </xf>
    <xf numFmtId="0" fontId="2" fillId="3" borderId="0" xfId="0" applyFont="1" applyFill="1" applyBorder="1" applyAlignment="1" applyProtection="1">
      <alignment horizontal="center" vertical="top"/>
    </xf>
    <xf numFmtId="0" fontId="2" fillId="9" borderId="0" xfId="0" applyFont="1" applyFill="1" applyAlignment="1" applyProtection="1">
      <alignment horizontal="center" vertical="center"/>
    </xf>
    <xf numFmtId="0" fontId="49" fillId="14" borderId="4" xfId="0" applyFont="1" applyFill="1" applyBorder="1" applyAlignment="1" applyProtection="1">
      <alignment vertical="center"/>
      <protection locked="0"/>
    </xf>
    <xf numFmtId="0" fontId="49" fillId="14" borderId="15" xfId="0" applyFont="1" applyFill="1" applyBorder="1" applyAlignment="1" applyProtection="1">
      <alignment vertical="center"/>
    </xf>
    <xf numFmtId="165" fontId="56" fillId="4" borderId="0" xfId="1" applyNumberFormat="1" applyFont="1" applyFill="1" applyBorder="1" applyAlignment="1" applyProtection="1">
      <alignment vertical="center"/>
    </xf>
    <xf numFmtId="0" fontId="2" fillId="3" borderId="0" xfId="0" applyFont="1" applyFill="1" applyBorder="1" applyAlignment="1" applyProtection="1">
      <alignment horizontal="center" vertical="top"/>
    </xf>
    <xf numFmtId="0" fontId="2" fillId="8" borderId="0" xfId="0" applyFont="1" applyFill="1" applyBorder="1" applyAlignment="1" applyProtection="1">
      <alignment horizontal="center" vertical="top"/>
    </xf>
    <xf numFmtId="0" fontId="2" fillId="8" borderId="19" xfId="0" applyFont="1" applyFill="1" applyBorder="1" applyAlignment="1" applyProtection="1">
      <alignment horizontal="center" vertical="top"/>
    </xf>
    <xf numFmtId="0" fontId="0" fillId="13" borderId="0" xfId="0" applyFill="1" applyAlignment="1" applyProtection="1">
      <alignment vertical="center"/>
    </xf>
    <xf numFmtId="0" fontId="44" fillId="4" borderId="0" xfId="0" applyFont="1" applyFill="1" applyAlignment="1" applyProtection="1">
      <alignment wrapText="1"/>
    </xf>
    <xf numFmtId="0" fontId="0" fillId="5" borderId="0" xfId="0" applyFill="1" applyAlignment="1" applyProtection="1">
      <alignment vertical="top"/>
      <protection locked="0"/>
    </xf>
    <xf numFmtId="0" fontId="0" fillId="5" borderId="0" xfId="0" applyFill="1" applyBorder="1" applyProtection="1">
      <protection locked="0"/>
    </xf>
    <xf numFmtId="0" fontId="0" fillId="5" borderId="0" xfId="0" applyFill="1" applyBorder="1" applyAlignment="1" applyProtection="1">
      <alignment vertical="top"/>
      <protection locked="0"/>
    </xf>
    <xf numFmtId="0" fontId="2" fillId="3" borderId="0" xfId="0" applyFont="1" applyFill="1" applyAlignment="1" applyProtection="1">
      <alignment vertical="top" wrapText="1"/>
      <protection locked="0"/>
    </xf>
    <xf numFmtId="0" fontId="2" fillId="8" borderId="0" xfId="0" applyFont="1" applyFill="1" applyBorder="1" applyAlignment="1" applyProtection="1">
      <alignment horizontal="center" vertical="top" wrapText="1"/>
    </xf>
    <xf numFmtId="0" fontId="2" fillId="3" borderId="0" xfId="0" applyFont="1" applyFill="1" applyBorder="1" applyAlignment="1" applyProtection="1">
      <alignment horizontal="center" vertical="top" wrapText="1"/>
    </xf>
    <xf numFmtId="0" fontId="50" fillId="14" borderId="9" xfId="0" applyFont="1" applyFill="1" applyBorder="1" applyAlignment="1" applyProtection="1">
      <alignment horizontal="right" vertical="center"/>
    </xf>
    <xf numFmtId="0" fontId="49" fillId="14" borderId="9" xfId="0" applyFont="1" applyFill="1" applyBorder="1" applyAlignment="1" applyProtection="1">
      <alignment vertical="center"/>
      <protection locked="0"/>
    </xf>
    <xf numFmtId="9" fontId="47" fillId="14" borderId="18" xfId="0" applyNumberFormat="1" applyFont="1" applyFill="1" applyBorder="1" applyAlignment="1" applyProtection="1">
      <alignment horizontal="center" vertical="center"/>
      <protection locked="0"/>
    </xf>
    <xf numFmtId="0" fontId="13" fillId="15" borderId="0" xfId="0" applyFont="1" applyFill="1" applyBorder="1" applyAlignment="1" applyProtection="1">
      <alignment vertical="center"/>
    </xf>
    <xf numFmtId="0" fontId="48" fillId="14" borderId="0" xfId="0" applyFont="1" applyFill="1" applyBorder="1" applyAlignment="1" applyProtection="1">
      <alignment horizontal="right" vertical="center"/>
    </xf>
    <xf numFmtId="0" fontId="0" fillId="14" borderId="4" xfId="0" applyFill="1" applyBorder="1" applyAlignment="1" applyProtection="1">
      <alignment vertical="top"/>
    </xf>
    <xf numFmtId="0" fontId="25" fillId="14" borderId="4" xfId="0" applyFont="1" applyFill="1" applyBorder="1" applyAlignment="1" applyProtection="1">
      <alignment vertical="center"/>
    </xf>
    <xf numFmtId="0" fontId="2" fillId="9" borderId="0" xfId="0" applyFont="1" applyFill="1" applyAlignment="1" applyProtection="1">
      <alignment horizontal="center" vertical="center"/>
    </xf>
    <xf numFmtId="0" fontId="57" fillId="4" borderId="0" xfId="3" applyFont="1" applyFill="1" applyBorder="1" applyAlignment="1" applyProtection="1">
      <alignment horizontal="center" vertical="top"/>
    </xf>
    <xf numFmtId="0" fontId="15" fillId="4" borderId="0" xfId="0" applyFont="1" applyFill="1" applyBorder="1" applyAlignment="1" applyProtection="1">
      <alignment horizontal="center" vertical="top"/>
    </xf>
    <xf numFmtId="0" fontId="2" fillId="24" borderId="0" xfId="0" applyFont="1" applyFill="1" applyAlignment="1" applyProtection="1">
      <alignment vertical="top" wrapText="1"/>
    </xf>
    <xf numFmtId="0" fontId="0" fillId="24" borderId="0" xfId="0" applyFill="1" applyAlignment="1" applyProtection="1">
      <alignment vertical="top" wrapText="1"/>
    </xf>
    <xf numFmtId="165" fontId="2" fillId="24" borderId="0" xfId="1" applyNumberFormat="1" applyFont="1" applyFill="1" applyAlignment="1" applyProtection="1">
      <alignment vertical="top"/>
    </xf>
    <xf numFmtId="0" fontId="2" fillId="24" borderId="0" xfId="0" applyFont="1" applyFill="1" applyAlignment="1" applyProtection="1">
      <alignment horizontal="right" vertical="top"/>
    </xf>
    <xf numFmtId="0" fontId="2" fillId="24" borderId="0" xfId="0" applyFont="1" applyFill="1" applyAlignment="1" applyProtection="1">
      <alignment horizontal="right" vertical="top" wrapText="1"/>
    </xf>
    <xf numFmtId="0" fontId="60" fillId="9" borderId="0" xfId="3" applyFont="1" applyFill="1" applyAlignment="1" applyProtection="1">
      <alignment horizontal="center" vertical="top"/>
    </xf>
    <xf numFmtId="0" fontId="61" fillId="0" borderId="0" xfId="0" applyFont="1" applyAlignment="1">
      <alignment horizontal="right" vertical="top"/>
    </xf>
    <xf numFmtId="0" fontId="32" fillId="14" borderId="0" xfId="0" applyFont="1" applyFill="1" applyAlignment="1" applyProtection="1">
      <alignment horizontal="right" vertical="center"/>
    </xf>
    <xf numFmtId="0" fontId="25" fillId="14" borderId="0" xfId="0" applyFont="1" applyFill="1" applyAlignment="1" applyProtection="1">
      <alignment horizontal="right" vertical="center"/>
    </xf>
    <xf numFmtId="0" fontId="62" fillId="25" borderId="0" xfId="0" applyFont="1" applyFill="1" applyAlignment="1" applyProtection="1">
      <alignment vertical="center"/>
      <protection locked="0"/>
    </xf>
    <xf numFmtId="0" fontId="21" fillId="25" borderId="0" xfId="0" applyFont="1" applyFill="1" applyAlignment="1" applyProtection="1">
      <alignment vertical="top"/>
      <protection locked="0"/>
    </xf>
    <xf numFmtId="0" fontId="0" fillId="25" borderId="0" xfId="0" applyFill="1" applyAlignment="1" applyProtection="1">
      <alignment vertical="top"/>
      <protection locked="0"/>
    </xf>
    <xf numFmtId="0" fontId="5" fillId="10" borderId="16" xfId="0" applyFont="1" applyFill="1" applyBorder="1" applyAlignment="1" applyProtection="1">
      <alignment vertical="center" wrapText="1"/>
      <protection locked="0"/>
    </xf>
    <xf numFmtId="0" fontId="0" fillId="0" borderId="0" xfId="0" applyAlignment="1">
      <alignment horizontal="right" vertical="top"/>
    </xf>
    <xf numFmtId="0" fontId="66" fillId="0" borderId="0" xfId="0" applyFont="1" applyAlignment="1">
      <alignment horizontal="right" vertical="center"/>
    </xf>
    <xf numFmtId="0" fontId="2" fillId="14" borderId="0" xfId="0" applyFont="1" applyFill="1" applyAlignment="1" applyProtection="1">
      <alignment horizontal="right" vertical="top"/>
    </xf>
    <xf numFmtId="0" fontId="0" fillId="8" borderId="0" xfId="0" applyFill="1" applyAlignment="1" applyProtection="1">
      <alignment horizontal="right" vertical="center"/>
    </xf>
    <xf numFmtId="0" fontId="2" fillId="0" borderId="0" xfId="0" applyFont="1" applyAlignment="1">
      <alignment horizontal="right"/>
    </xf>
    <xf numFmtId="9" fontId="14" fillId="8" borderId="17" xfId="0" applyNumberFormat="1" applyFont="1" applyFill="1" applyBorder="1" applyAlignment="1" applyProtection="1">
      <alignment vertical="top"/>
    </xf>
    <xf numFmtId="0" fontId="0" fillId="4" borderId="0" xfId="0" applyFill="1" applyBorder="1" applyAlignment="1" applyProtection="1">
      <alignment vertical="top"/>
      <protection locked="0"/>
    </xf>
    <xf numFmtId="166" fontId="0" fillId="5" borderId="10" xfId="2" applyNumberFormat="1" applyFont="1" applyFill="1" applyBorder="1" applyAlignment="1" applyProtection="1">
      <alignment horizontal="right" vertical="top"/>
      <protection locked="0"/>
    </xf>
    <xf numFmtId="166" fontId="0" fillId="14" borderId="10" xfId="2" applyNumberFormat="1" applyFont="1" applyFill="1" applyBorder="1" applyAlignment="1" applyProtection="1">
      <alignment horizontal="right" vertical="top"/>
      <protection locked="0"/>
    </xf>
    <xf numFmtId="166" fontId="0" fillId="5" borderId="12" xfId="2" applyNumberFormat="1" applyFont="1" applyFill="1" applyBorder="1" applyAlignment="1" applyProtection="1">
      <alignment horizontal="right" vertical="top"/>
      <protection locked="0"/>
    </xf>
    <xf numFmtId="0" fontId="69" fillId="0" borderId="0" xfId="0" applyFont="1"/>
    <xf numFmtId="0" fontId="70" fillId="0" borderId="0" xfId="0" applyFont="1"/>
    <xf numFmtId="0" fontId="71" fillId="0" borderId="0" xfId="0" applyFont="1"/>
    <xf numFmtId="0" fontId="72" fillId="0" borderId="0" xfId="0" applyFont="1"/>
    <xf numFmtId="0" fontId="74" fillId="0" borderId="0" xfId="0" applyFont="1"/>
    <xf numFmtId="0" fontId="43" fillId="0" borderId="0" xfId="0" applyFont="1"/>
    <xf numFmtId="0" fontId="0" fillId="0" borderId="0" xfId="0" applyFont="1"/>
    <xf numFmtId="0" fontId="75" fillId="0" borderId="0" xfId="0" applyFont="1"/>
    <xf numFmtId="0" fontId="21" fillId="0" borderId="0" xfId="0" applyFont="1" applyAlignment="1">
      <alignment vertical="top" wrapText="1"/>
    </xf>
    <xf numFmtId="0" fontId="21" fillId="0" borderId="0" xfId="0" applyFont="1" applyAlignment="1">
      <alignment vertical="top"/>
    </xf>
    <xf numFmtId="0" fontId="67" fillId="0" borderId="0" xfId="0" applyFont="1" applyAlignment="1">
      <alignment horizontal="center" vertical="top"/>
    </xf>
    <xf numFmtId="0" fontId="27" fillId="0" borderId="0" xfId="0" applyFont="1" applyAlignment="1">
      <alignment vertical="top"/>
    </xf>
    <xf numFmtId="0" fontId="20" fillId="0" borderId="0" xfId="3" applyAlignment="1">
      <alignment vertical="top"/>
    </xf>
    <xf numFmtId="0" fontId="68" fillId="0" borderId="0" xfId="0" applyFont="1" applyAlignment="1">
      <alignment vertical="top"/>
    </xf>
    <xf numFmtId="0" fontId="76" fillId="2" borderId="0" xfId="0" applyFont="1" applyFill="1" applyAlignment="1" applyProtection="1">
      <alignment vertical="center" wrapText="1"/>
      <protection locked="0"/>
    </xf>
    <xf numFmtId="0" fontId="0" fillId="4" borderId="0" xfId="0" applyFont="1" applyFill="1" applyAlignment="1" applyProtection="1">
      <alignment vertical="top"/>
    </xf>
    <xf numFmtId="0" fontId="2" fillId="4" borderId="0" xfId="0" applyFont="1" applyFill="1" applyAlignment="1" applyProtection="1">
      <alignment horizontal="right" vertical="top"/>
    </xf>
    <xf numFmtId="0" fontId="8" fillId="13" borderId="0" xfId="0" applyFont="1" applyFill="1" applyAlignment="1" applyProtection="1">
      <alignment vertical="center" wrapText="1"/>
    </xf>
    <xf numFmtId="0" fontId="33" fillId="9" borderId="0" xfId="0" applyFont="1" applyFill="1" applyAlignment="1" applyProtection="1">
      <alignment vertical="top"/>
    </xf>
    <xf numFmtId="0" fontId="25" fillId="14" borderId="15" xfId="0" applyFont="1" applyFill="1" applyBorder="1" applyAlignment="1" applyProtection="1">
      <alignment vertical="center"/>
    </xf>
    <xf numFmtId="0" fontId="0" fillId="14" borderId="0" xfId="0" applyFill="1" applyBorder="1" applyAlignment="1" applyProtection="1">
      <alignment vertical="top"/>
    </xf>
    <xf numFmtId="0" fontId="25" fillId="14" borderId="14" xfId="0" applyFont="1" applyFill="1" applyBorder="1" applyAlignment="1" applyProtection="1">
      <alignment vertical="center"/>
    </xf>
    <xf numFmtId="0" fontId="0" fillId="14" borderId="0" xfId="0" applyFill="1" applyBorder="1" applyAlignment="1" applyProtection="1">
      <alignment vertical="top" wrapText="1"/>
    </xf>
    <xf numFmtId="0" fontId="10" fillId="14" borderId="0" xfId="0" applyFont="1" applyFill="1" applyBorder="1" applyAlignment="1" applyProtection="1">
      <alignment horizontal="right"/>
    </xf>
    <xf numFmtId="0" fontId="2" fillId="8" borderId="2" xfId="0" applyFont="1" applyFill="1" applyBorder="1" applyAlignment="1" applyProtection="1">
      <alignment vertical="top"/>
    </xf>
    <xf numFmtId="0" fontId="33" fillId="9" borderId="0" xfId="0" applyFont="1" applyFill="1" applyAlignment="1" applyProtection="1">
      <alignment horizontal="right" vertical="top"/>
    </xf>
    <xf numFmtId="9" fontId="14" fillId="8" borderId="1" xfId="0" applyNumberFormat="1" applyFont="1" applyFill="1" applyBorder="1" applyAlignment="1" applyProtection="1">
      <alignment horizontal="center" vertical="center"/>
    </xf>
    <xf numFmtId="0" fontId="59" fillId="4" borderId="0" xfId="3" applyFont="1" applyFill="1" applyAlignment="1" applyProtection="1">
      <alignment horizontal="left" vertical="center"/>
    </xf>
    <xf numFmtId="0" fontId="25" fillId="14" borderId="9" xfId="0" applyFont="1" applyFill="1" applyBorder="1" applyAlignment="1" applyProtection="1">
      <alignment vertical="center"/>
    </xf>
    <xf numFmtId="0" fontId="64" fillId="4" borderId="0" xfId="0" applyFont="1" applyFill="1" applyBorder="1" applyAlignment="1" applyProtection="1">
      <alignment vertical="top"/>
    </xf>
    <xf numFmtId="166" fontId="0" fillId="5" borderId="22" xfId="0" applyNumberFormat="1" applyFill="1" applyBorder="1" applyAlignment="1" applyProtection="1">
      <alignment horizontal="left" vertical="top"/>
      <protection locked="0"/>
    </xf>
    <xf numFmtId="0" fontId="0" fillId="4" borderId="16" xfId="0" applyFill="1" applyBorder="1" applyAlignment="1" applyProtection="1">
      <alignment vertical="top"/>
      <protection locked="0"/>
    </xf>
    <xf numFmtId="0" fontId="0" fillId="19" borderId="0" xfId="0" applyFill="1" applyAlignment="1" applyProtection="1">
      <alignment vertical="top"/>
    </xf>
    <xf numFmtId="9" fontId="0" fillId="5" borderId="10" xfId="0" applyNumberFormat="1" applyFill="1" applyBorder="1" applyAlignment="1" applyProtection="1">
      <alignment vertical="top"/>
      <protection locked="0"/>
    </xf>
    <xf numFmtId="9" fontId="0" fillId="5" borderId="13" xfId="0" applyNumberFormat="1" applyFill="1" applyBorder="1" applyAlignment="1" applyProtection="1">
      <alignment vertical="top"/>
      <protection locked="0"/>
    </xf>
    <xf numFmtId="165" fontId="5" fillId="19" borderId="9" xfId="1" applyNumberFormat="1" applyFont="1" applyFill="1" applyBorder="1" applyAlignment="1" applyProtection="1">
      <alignment vertical="top"/>
    </xf>
    <xf numFmtId="1" fontId="5" fillId="19" borderId="9" xfId="0" applyNumberFormat="1" applyFont="1" applyFill="1" applyBorder="1" applyAlignment="1" applyProtection="1">
      <alignment vertical="top"/>
    </xf>
    <xf numFmtId="0" fontId="43" fillId="4" borderId="0" xfId="0" applyFont="1" applyFill="1" applyAlignment="1" applyProtection="1">
      <alignment horizontal="right" vertical="top"/>
    </xf>
    <xf numFmtId="0" fontId="11" fillId="14" borderId="0" xfId="0" applyFont="1" applyFill="1" applyBorder="1" applyAlignment="1" applyProtection="1">
      <alignment horizontal="right" vertical="center"/>
    </xf>
    <xf numFmtId="0" fontId="79" fillId="14" borderId="4" xfId="0" applyFont="1" applyFill="1" applyBorder="1" applyAlignment="1" applyProtection="1">
      <alignment horizontal="right" vertical="center"/>
    </xf>
    <xf numFmtId="0" fontId="78" fillId="14" borderId="0" xfId="0" applyFont="1" applyFill="1" applyAlignment="1" applyProtection="1">
      <alignment vertical="center"/>
    </xf>
    <xf numFmtId="0" fontId="2" fillId="26" borderId="0" xfId="0" applyFont="1" applyFill="1" applyAlignment="1" applyProtection="1">
      <alignment vertical="top"/>
    </xf>
    <xf numFmtId="0" fontId="2" fillId="26" borderId="0" xfId="0" applyFont="1" applyFill="1" applyAlignment="1" applyProtection="1">
      <alignment vertical="top" wrapText="1"/>
    </xf>
    <xf numFmtId="9" fontId="0" fillId="5" borderId="10" xfId="2" applyFont="1" applyFill="1" applyBorder="1" applyAlignment="1" applyProtection="1">
      <alignment horizontal="right" vertical="top"/>
      <protection locked="0"/>
    </xf>
    <xf numFmtId="9" fontId="0" fillId="14" borderId="10" xfId="2" applyFont="1" applyFill="1" applyBorder="1" applyAlignment="1" applyProtection="1">
      <alignment horizontal="right" vertical="top"/>
      <protection locked="0"/>
    </xf>
    <xf numFmtId="0" fontId="0" fillId="4" borderId="0" xfId="0" applyFill="1" applyAlignment="1" applyProtection="1">
      <alignment horizontal="right" vertical="top"/>
      <protection locked="0"/>
    </xf>
    <xf numFmtId="9" fontId="42" fillId="5" borderId="0" xfId="0" applyNumberFormat="1" applyFont="1" applyFill="1" applyAlignment="1" applyProtection="1">
      <alignment horizontal="right" vertical="top"/>
      <protection locked="0"/>
    </xf>
    <xf numFmtId="9" fontId="0" fillId="5" borderId="0" xfId="0" applyNumberFormat="1" applyFill="1" applyAlignment="1" applyProtection="1">
      <alignment vertical="top"/>
      <protection locked="0"/>
    </xf>
    <xf numFmtId="9" fontId="0" fillId="6" borderId="4" xfId="0" applyNumberFormat="1" applyFill="1" applyBorder="1" applyAlignment="1" applyProtection="1">
      <alignment vertical="top" wrapText="1"/>
      <protection locked="0"/>
    </xf>
    <xf numFmtId="0" fontId="0" fillId="6" borderId="0" xfId="0" applyFill="1" applyAlignment="1" applyProtection="1">
      <alignment horizontal="left" vertical="top"/>
    </xf>
    <xf numFmtId="0" fontId="0" fillId="23" borderId="0" xfId="0" applyFill="1" applyAlignment="1" applyProtection="1">
      <alignment horizontal="left" vertical="top"/>
    </xf>
    <xf numFmtId="0" fontId="16" fillId="14" borderId="0" xfId="0" applyFont="1" applyFill="1" applyAlignment="1" applyProtection="1">
      <alignment horizontal="left"/>
    </xf>
    <xf numFmtId="0" fontId="0" fillId="14" borderId="0" xfId="0" applyFill="1" applyAlignment="1" applyProtection="1">
      <alignment horizontal="left" vertical="top"/>
    </xf>
    <xf numFmtId="0" fontId="46" fillId="14" borderId="0" xfId="0" applyFont="1" applyFill="1" applyAlignment="1" applyProtection="1">
      <alignment horizontal="left" vertical="center"/>
    </xf>
    <xf numFmtId="0" fontId="3" fillId="6" borderId="0" xfId="0" applyFont="1" applyFill="1" applyAlignment="1" applyProtection="1">
      <alignment horizontal="left" vertical="top"/>
    </xf>
    <xf numFmtId="0" fontId="0" fillId="9" borderId="0" xfId="0" applyFill="1" applyAlignment="1" applyProtection="1">
      <alignment horizontal="left" vertical="top"/>
    </xf>
    <xf numFmtId="0" fontId="17" fillId="8" borderId="0" xfId="0" applyFont="1" applyFill="1" applyAlignment="1" applyProtection="1">
      <alignment horizontal="left" vertical="top"/>
    </xf>
    <xf numFmtId="0" fontId="2" fillId="3" borderId="0" xfId="0" applyFont="1" applyFill="1" applyAlignment="1" applyProtection="1">
      <alignment horizontal="left" vertical="top" wrapText="1"/>
    </xf>
    <xf numFmtId="0" fontId="6" fillId="10" borderId="0" xfId="0" applyFont="1" applyFill="1" applyBorder="1" applyAlignment="1" applyProtection="1">
      <alignment horizontal="left" vertical="center"/>
      <protection locked="0"/>
    </xf>
    <xf numFmtId="0" fontId="0" fillId="4" borderId="0" xfId="0" applyFill="1" applyAlignment="1" applyProtection="1">
      <alignment horizontal="left" vertical="top"/>
    </xf>
    <xf numFmtId="0" fontId="0" fillId="6" borderId="4" xfId="0" applyFill="1" applyBorder="1" applyAlignment="1" applyProtection="1">
      <alignment horizontal="left" vertical="top"/>
    </xf>
    <xf numFmtId="0" fontId="0" fillId="6" borderId="0" xfId="0" applyFill="1" applyBorder="1" applyAlignment="1" applyProtection="1">
      <alignment horizontal="left" vertical="top"/>
    </xf>
    <xf numFmtId="0" fontId="0" fillId="10" borderId="0" xfId="0" applyFill="1" applyBorder="1" applyAlignment="1" applyProtection="1">
      <alignment horizontal="left" vertical="top"/>
    </xf>
    <xf numFmtId="0" fontId="17" fillId="8" borderId="0" xfId="0" applyFont="1" applyFill="1" applyAlignment="1" applyProtection="1">
      <alignment horizontal="left" vertical="center"/>
    </xf>
    <xf numFmtId="0" fontId="2" fillId="24" borderId="0" xfId="0" applyFont="1" applyFill="1" applyAlignment="1" applyProtection="1">
      <alignment horizontal="left" vertical="top"/>
    </xf>
    <xf numFmtId="0" fontId="2" fillId="26" borderId="0" xfId="0" applyFont="1" applyFill="1" applyAlignment="1" applyProtection="1">
      <alignment horizontal="left" vertical="top"/>
    </xf>
    <xf numFmtId="0" fontId="0" fillId="24" borderId="0" xfId="0" applyFill="1" applyAlignment="1" applyProtection="1">
      <alignment horizontal="left" vertical="top"/>
    </xf>
    <xf numFmtId="0" fontId="0" fillId="6" borderId="0" xfId="0" applyFill="1" applyAlignment="1" applyProtection="1">
      <alignment horizontal="left" vertical="top"/>
      <protection locked="0"/>
    </xf>
    <xf numFmtId="0" fontId="0" fillId="4" borderId="0" xfId="0" applyFill="1" applyAlignment="1" applyProtection="1">
      <alignment horizontal="left" vertical="top"/>
      <protection locked="0"/>
    </xf>
    <xf numFmtId="0" fontId="2" fillId="4" borderId="12" xfId="0" applyFont="1" applyFill="1" applyBorder="1" applyAlignment="1" applyProtection="1">
      <alignment horizontal="center" vertical="top"/>
      <protection locked="0"/>
    </xf>
    <xf numFmtId="0" fontId="2" fillId="4" borderId="12" xfId="0" applyFont="1" applyFill="1" applyBorder="1" applyAlignment="1" applyProtection="1">
      <alignment vertical="top"/>
      <protection locked="0"/>
    </xf>
    <xf numFmtId="0" fontId="50" fillId="14" borderId="0" xfId="0" applyFont="1" applyFill="1" applyAlignment="1" applyProtection="1">
      <alignment horizontal="left" vertical="center"/>
    </xf>
    <xf numFmtId="165" fontId="7" fillId="13" borderId="0" xfId="1" applyNumberFormat="1" applyFont="1" applyFill="1" applyAlignment="1" applyProtection="1">
      <alignment horizontal="left" vertical="center" indent="1"/>
    </xf>
    <xf numFmtId="2" fontId="8" fillId="13" borderId="0" xfId="0" applyNumberFormat="1" applyFont="1" applyFill="1" applyAlignment="1" applyProtection="1">
      <alignment horizontal="right" vertical="center"/>
      <protection locked="0"/>
    </xf>
    <xf numFmtId="0" fontId="7" fillId="13" borderId="0" xfId="0" applyFont="1" applyFill="1" applyAlignment="1" applyProtection="1">
      <alignment horizontal="left" vertical="center"/>
      <protection locked="0"/>
    </xf>
    <xf numFmtId="0" fontId="8" fillId="2" borderId="0" xfId="0" applyFont="1" applyFill="1" applyAlignment="1" applyProtection="1">
      <alignment horizontal="left" vertical="center"/>
      <protection locked="0"/>
    </xf>
    <xf numFmtId="0" fontId="52" fillId="2" borderId="0" xfId="0" applyFont="1" applyFill="1" applyBorder="1" applyAlignment="1" applyProtection="1">
      <alignment horizontal="center" textRotation="90"/>
    </xf>
    <xf numFmtId="0" fontId="58" fillId="2" borderId="0" xfId="3" applyFont="1" applyFill="1" applyBorder="1" applyAlignment="1" applyProtection="1">
      <alignment horizontal="center"/>
    </xf>
    <xf numFmtId="0" fontId="2" fillId="9" borderId="7" xfId="0" applyFont="1" applyFill="1" applyBorder="1" applyAlignment="1" applyProtection="1">
      <alignment horizontal="center" vertical="top"/>
    </xf>
    <xf numFmtId="0" fontId="2" fillId="9" borderId="0" xfId="0" applyFont="1" applyFill="1" applyAlignment="1" applyProtection="1">
      <alignment horizontal="center" vertical="center"/>
    </xf>
    <xf numFmtId="0" fontId="57" fillId="4" borderId="0" xfId="3" applyFont="1" applyFill="1" applyBorder="1" applyAlignment="1" applyProtection="1">
      <alignment horizontal="center" vertical="top"/>
    </xf>
    <xf numFmtId="0" fontId="58" fillId="4" borderId="0" xfId="3" applyFont="1" applyFill="1" applyBorder="1" applyAlignment="1" applyProtection="1">
      <alignment horizontal="center" vertical="top"/>
    </xf>
    <xf numFmtId="0" fontId="2" fillId="14" borderId="0" xfId="0" applyFont="1" applyFill="1" applyAlignment="1" applyProtection="1">
      <alignment horizontal="center" vertical="center" wrapText="1"/>
    </xf>
    <xf numFmtId="15" fontId="0" fillId="14" borderId="0" xfId="0" applyNumberFormat="1" applyFill="1" applyAlignment="1" applyProtection="1">
      <alignment horizontal="left" vertical="top"/>
    </xf>
    <xf numFmtId="0" fontId="63" fillId="4" borderId="0" xfId="0" applyFont="1" applyFill="1" applyAlignment="1" applyProtection="1">
      <alignment horizontal="right" vertical="top" wrapText="1"/>
      <protection locked="0"/>
    </xf>
    <xf numFmtId="0" fontId="2" fillId="8" borderId="5" xfId="0" applyFont="1" applyFill="1" applyBorder="1" applyAlignment="1" applyProtection="1">
      <alignment horizontal="center" vertical="top"/>
    </xf>
    <xf numFmtId="0" fontId="2" fillId="8" borderId="7" xfId="0" applyFont="1" applyFill="1" applyBorder="1" applyAlignment="1" applyProtection="1">
      <alignment horizontal="center" vertical="top"/>
    </xf>
    <xf numFmtId="0" fontId="2" fillId="8" borderId="6" xfId="0" applyFont="1" applyFill="1" applyBorder="1" applyAlignment="1" applyProtection="1">
      <alignment horizontal="center" vertical="top"/>
    </xf>
    <xf numFmtId="0" fontId="0" fillId="4" borderId="0" xfId="0" applyFill="1" applyAlignment="1" applyProtection="1">
      <alignment horizontal="left" vertical="top" wrapText="1"/>
    </xf>
    <xf numFmtId="0" fontId="35" fillId="4" borderId="16" xfId="0" applyFont="1" applyFill="1" applyBorder="1" applyAlignment="1" applyProtection="1">
      <alignment horizontal="center" vertical="center"/>
    </xf>
    <xf numFmtId="0" fontId="35" fillId="4" borderId="0" xfId="0" applyFont="1" applyFill="1" applyBorder="1" applyAlignment="1" applyProtection="1">
      <alignment horizontal="center" vertical="center"/>
    </xf>
    <xf numFmtId="0" fontId="35" fillId="4" borderId="8" xfId="0" applyFont="1" applyFill="1" applyBorder="1" applyAlignment="1" applyProtection="1">
      <alignment horizontal="center" vertical="center"/>
    </xf>
    <xf numFmtId="0" fontId="35" fillId="4" borderId="4" xfId="0" applyFont="1" applyFill="1" applyBorder="1" applyAlignment="1" applyProtection="1">
      <alignment horizontal="center" vertical="center"/>
    </xf>
    <xf numFmtId="165" fontId="0" fillId="4" borderId="11" xfId="1" applyNumberFormat="1" applyFont="1" applyFill="1" applyBorder="1" applyAlignment="1" applyProtection="1">
      <alignment horizontal="center" vertical="top"/>
    </xf>
    <xf numFmtId="165" fontId="0" fillId="4" borderId="13" xfId="1" applyNumberFormat="1" applyFont="1" applyFill="1" applyBorder="1" applyAlignment="1" applyProtection="1">
      <alignment horizontal="center" vertical="top"/>
    </xf>
    <xf numFmtId="165" fontId="0" fillId="4" borderId="8" xfId="1" applyNumberFormat="1" applyFont="1" applyFill="1" applyBorder="1" applyAlignment="1" applyProtection="1">
      <alignment horizontal="center" vertical="top"/>
    </xf>
    <xf numFmtId="165" fontId="0" fillId="4" borderId="15" xfId="1" applyNumberFormat="1" applyFont="1" applyFill="1" applyBorder="1" applyAlignment="1" applyProtection="1">
      <alignment horizontal="center" vertical="top"/>
    </xf>
    <xf numFmtId="165" fontId="5" fillId="19" borderId="9" xfId="1" applyNumberFormat="1" applyFont="1" applyFill="1" applyBorder="1" applyAlignment="1" applyProtection="1">
      <alignment horizontal="center" vertical="top"/>
    </xf>
    <xf numFmtId="0" fontId="19" fillId="19" borderId="9" xfId="0" applyFont="1" applyFill="1" applyBorder="1" applyAlignment="1" applyProtection="1">
      <alignment horizontal="center" vertical="top"/>
    </xf>
    <xf numFmtId="0" fontId="65" fillId="4" borderId="0" xfId="0" applyFont="1" applyFill="1" applyBorder="1" applyAlignment="1" applyProtection="1">
      <alignment horizontal="left" vertical="top" wrapText="1"/>
      <protection locked="0"/>
    </xf>
    <xf numFmtId="0" fontId="2" fillId="3" borderId="0" xfId="0" applyFont="1" applyFill="1" applyBorder="1" applyAlignment="1" applyProtection="1">
      <alignment horizontal="center" vertical="top"/>
    </xf>
    <xf numFmtId="0" fontId="2" fillId="3" borderId="2" xfId="0" applyFont="1" applyFill="1" applyBorder="1" applyAlignment="1" applyProtection="1">
      <alignment horizontal="center" vertical="top"/>
    </xf>
    <xf numFmtId="0" fontId="64" fillId="4" borderId="4" xfId="0" applyFont="1" applyFill="1" applyBorder="1" applyAlignment="1" applyProtection="1">
      <alignment horizontal="center" vertical="top"/>
    </xf>
    <xf numFmtId="0" fontId="0" fillId="4" borderId="0" xfId="0" applyFont="1" applyFill="1" applyAlignment="1" applyProtection="1">
      <alignment horizontal="right" vertical="top" wrapText="1"/>
    </xf>
    <xf numFmtId="0" fontId="44" fillId="4" borderId="0" xfId="0" applyFont="1" applyFill="1" applyAlignment="1" applyProtection="1">
      <alignment horizontal="left" vertical="top" wrapText="1"/>
    </xf>
    <xf numFmtId="165" fontId="6" fillId="10" borderId="0" xfId="1" applyNumberFormat="1" applyFont="1" applyFill="1" applyBorder="1" applyAlignment="1" applyProtection="1">
      <alignment horizontal="right" vertical="center"/>
    </xf>
    <xf numFmtId="0" fontId="4" fillId="14" borderId="0" xfId="0" applyFont="1" applyFill="1" applyAlignment="1" applyProtection="1">
      <alignment horizontal="right" wrapText="1"/>
    </xf>
    <xf numFmtId="165" fontId="6" fillId="10" borderId="0" xfId="1" applyNumberFormat="1" applyFont="1" applyFill="1" applyBorder="1" applyAlignment="1" applyProtection="1">
      <alignment horizontal="center" vertical="center"/>
    </xf>
    <xf numFmtId="165" fontId="53" fillId="9" borderId="0" xfId="1" applyNumberFormat="1" applyFont="1" applyFill="1" applyAlignment="1" applyProtection="1">
      <alignment horizontal="right" vertical="top"/>
    </xf>
    <xf numFmtId="15" fontId="38" fillId="19" borderId="0" xfId="0" applyNumberFormat="1" applyFont="1" applyFill="1" applyBorder="1" applyAlignment="1" applyProtection="1">
      <alignment horizontal="left" vertical="center" wrapText="1"/>
    </xf>
    <xf numFmtId="0" fontId="64" fillId="4" borderId="4" xfId="0" applyFont="1" applyFill="1" applyBorder="1" applyAlignment="1" applyProtection="1">
      <alignment horizontal="center" vertical="top"/>
      <protection locked="0"/>
    </xf>
    <xf numFmtId="0" fontId="2" fillId="2" borderId="1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15" fontId="0" fillId="0" borderId="0" xfId="0" applyNumberFormat="1" applyFill="1" applyAlignment="1">
      <alignment horizontal="center"/>
    </xf>
    <xf numFmtId="15" fontId="0" fillId="5" borderId="0" xfId="0" applyNumberFormat="1" applyFill="1" applyAlignment="1">
      <alignment horizontal="left"/>
    </xf>
    <xf numFmtId="0" fontId="2" fillId="2" borderId="2" xfId="0" applyFont="1" applyFill="1" applyBorder="1" applyAlignment="1">
      <alignment horizontal="center"/>
    </xf>
    <xf numFmtId="0" fontId="67" fillId="0" borderId="0" xfId="0" applyFont="1" applyAlignment="1">
      <alignment horizontal="center" vertical="top"/>
    </xf>
    <xf numFmtId="0" fontId="66" fillId="0" borderId="0" xfId="0" applyFont="1" applyAlignment="1">
      <alignment horizontal="left" vertical="center"/>
    </xf>
    <xf numFmtId="0" fontId="2" fillId="0" borderId="0" xfId="0" applyFont="1" applyAlignment="1">
      <alignment horizontal="right" vertical="top" wrapText="1"/>
    </xf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1257"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theme="8" tint="-0.24994659260841701"/>
      </font>
      <fill>
        <patternFill>
          <bgColor theme="7" tint="0.59996337778862885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F5F9FD"/>
      <color rgb="FFFF00FF"/>
      <color rgb="FFFFF6DD"/>
      <color rgb="FF9933FF"/>
      <color rgb="FFCC00CC"/>
      <color rgb="FFFF66FF"/>
      <color rgb="FFFBDBC9"/>
      <color rgb="FFF9F9F9"/>
      <color rgb="FFFF9999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1224658064548566"/>
          <c:y val="0.26311006357607375"/>
          <c:w val="0.43439250997337919"/>
          <c:h val="0.45355678900473162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638-4030-810E-B426BF2B47F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F638-4030-810E-B426BF2B47F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638-4030-810E-B426BF2B47F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F638-4030-810E-B426BF2B47F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638-4030-810E-B426BF2B47F6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F638-4030-810E-B426BF2B47F6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F638-4030-810E-B426BF2B47F6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F638-4030-810E-B426BF2B47F6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F638-4030-810E-B426BF2B47F6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4-F638-4030-810E-B426BF2B47F6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F638-4030-810E-B426BF2B47F6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6-F638-4030-810E-B426BF2B47F6}"/>
                </c:ext>
              </c:extLst>
            </c:dLbl>
            <c:spPr>
              <a:noFill/>
              <a:ln>
                <a:noFill/>
              </a:ln>
              <a:effectLst/>
            </c:sp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Estimation!$L$279:$L$284</c:f>
              <c:strCache>
                <c:ptCount val="6"/>
                <c:pt idx="0">
                  <c:v>Req</c:v>
                </c:pt>
                <c:pt idx="1">
                  <c:v>Design</c:v>
                </c:pt>
                <c:pt idx="2">
                  <c:v>Dev.</c:v>
                </c:pt>
                <c:pt idx="3">
                  <c:v>QA</c:v>
                </c:pt>
                <c:pt idx="4">
                  <c:v>UAT Etc.</c:v>
                </c:pt>
                <c:pt idx="5">
                  <c:v>Others</c:v>
                </c:pt>
              </c:strCache>
            </c:strRef>
          </c:cat>
          <c:val>
            <c:numRef>
              <c:f>Estimation!$O$279:$O$284</c:f>
              <c:numCache>
                <c:formatCode>0</c:formatCode>
                <c:ptCount val="6"/>
                <c:pt idx="0">
                  <c:v>224</c:v>
                </c:pt>
                <c:pt idx="1">
                  <c:v>203</c:v>
                </c:pt>
                <c:pt idx="2">
                  <c:v>682</c:v>
                </c:pt>
                <c:pt idx="3">
                  <c:v>421</c:v>
                </c:pt>
                <c:pt idx="4">
                  <c:v>63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67-4FB8-91F6-2E8BB13F40B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1309430</xdr:colOff>
      <xdr:row>1</xdr:row>
      <xdr:rowOff>27173</xdr:rowOff>
    </xdr:from>
    <xdr:to>
      <xdr:col>27</xdr:col>
      <xdr:colOff>2317748</xdr:colOff>
      <xdr:row>4</xdr:row>
      <xdr:rowOff>23302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79347" y="80090"/>
          <a:ext cx="1008318" cy="396160"/>
        </a:xfrm>
        <a:prstGeom prst="rect">
          <a:avLst/>
        </a:prstGeom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24</xdr:col>
      <xdr:colOff>89647</xdr:colOff>
      <xdr:row>277</xdr:row>
      <xdr:rowOff>100852</xdr:rowOff>
    </xdr:from>
    <xdr:to>
      <xdr:col>26</xdr:col>
      <xdr:colOff>515471</xdr:colOff>
      <xdr:row>285</xdr:row>
      <xdr:rowOff>22411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212912</xdr:colOff>
      <xdr:row>4</xdr:row>
      <xdr:rowOff>82799</xdr:rowOff>
    </xdr:from>
    <xdr:to>
      <xdr:col>16</xdr:col>
      <xdr:colOff>235322</xdr:colOff>
      <xdr:row>5</xdr:row>
      <xdr:rowOff>146299</xdr:rowOff>
    </xdr:to>
    <xdr:sp macro="" textlink="">
      <xdr:nvSpPr>
        <xdr:cNvPr id="5" name="Right Arrow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5065059" y="519828"/>
          <a:ext cx="829234" cy="321236"/>
        </a:xfrm>
        <a:prstGeom prst="rightArrow">
          <a:avLst>
            <a:gd name="adj1" fmla="val 63333"/>
            <a:gd name="adj2" fmla="val 50000"/>
          </a:avLst>
        </a:prstGeom>
        <a:gradFill flip="none" rotWithShape="1">
          <a:gsLst>
            <a:gs pos="0">
              <a:schemeClr val="accent4">
                <a:lumMod val="60000"/>
                <a:lumOff val="40000"/>
              </a:schemeClr>
            </a:gs>
            <a:gs pos="45000">
              <a:schemeClr val="accent4">
                <a:lumMod val="40000"/>
                <a:lumOff val="60000"/>
              </a:schemeClr>
            </a:gs>
            <a:gs pos="57000">
              <a:schemeClr val="accent4">
                <a:lumMod val="40000"/>
                <a:lumOff val="60000"/>
              </a:schemeClr>
            </a:gs>
            <a:gs pos="82000">
              <a:schemeClr val="accent4">
                <a:lumMod val="20000"/>
                <a:lumOff val="80000"/>
              </a:schemeClr>
            </a:gs>
          </a:gsLst>
          <a:lin ang="10800000" scaled="1"/>
          <a:tileRect/>
        </a:gradFill>
        <a:effectLst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50" b="0">
              <a:solidFill>
                <a:sysClr val="windowText" lastClr="000000"/>
              </a:solidFill>
            </a:rPr>
            <a:t>Sales'</a:t>
          </a:r>
          <a:r>
            <a:rPr lang="en-US" sz="1050" b="0" baseline="0">
              <a:solidFill>
                <a:sysClr val="windowText" lastClr="000000"/>
              </a:solidFill>
            </a:rPr>
            <a:t> Call</a:t>
          </a:r>
          <a:endParaRPr lang="en-US" sz="1050" b="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</xdr:colOff>
          <xdr:row>8</xdr:row>
          <xdr:rowOff>15240</xdr:rowOff>
        </xdr:from>
        <xdr:to>
          <xdr:col>13</xdr:col>
          <xdr:colOff>76200</xdr:colOff>
          <xdr:row>9</xdr:row>
          <xdr:rowOff>68580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Before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129540</xdr:colOff>
          <xdr:row>8</xdr:row>
          <xdr:rowOff>15240</xdr:rowOff>
        </xdr:from>
        <xdr:to>
          <xdr:col>13</xdr:col>
          <xdr:colOff>822960</xdr:colOff>
          <xdr:row>9</xdr:row>
          <xdr:rowOff>68580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After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1600200</xdr:colOff>
          <xdr:row>8</xdr:row>
          <xdr:rowOff>15240</xdr:rowOff>
        </xdr:from>
        <xdr:to>
          <xdr:col>13</xdr:col>
          <xdr:colOff>2301240</xdr:colOff>
          <xdr:row>9</xdr:row>
          <xdr:rowOff>68580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2339340</xdr:colOff>
          <xdr:row>8</xdr:row>
          <xdr:rowOff>15240</xdr:rowOff>
        </xdr:from>
        <xdr:to>
          <xdr:col>14</xdr:col>
          <xdr:colOff>190500</xdr:colOff>
          <xdr:row>9</xdr:row>
          <xdr:rowOff>68580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8</xdr:row>
          <xdr:rowOff>15240</xdr:rowOff>
        </xdr:from>
        <xdr:to>
          <xdr:col>15</xdr:col>
          <xdr:colOff>15240</xdr:colOff>
          <xdr:row>9</xdr:row>
          <xdr:rowOff>68580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861060</xdr:colOff>
          <xdr:row>8</xdr:row>
          <xdr:rowOff>15240</xdr:rowOff>
        </xdr:from>
        <xdr:to>
          <xdr:col>13</xdr:col>
          <xdr:colOff>1554480</xdr:colOff>
          <xdr:row>9</xdr:row>
          <xdr:rowOff>68580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Group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221780</xdr:colOff>
      <xdr:row>5</xdr:row>
      <xdr:rowOff>80428</xdr:rowOff>
    </xdr:from>
    <xdr:ext cx="4826250" cy="93762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 rot="19958354">
          <a:off x="3812705" y="1423453"/>
          <a:ext cx="4826250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54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S a m p l e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139598</xdr:colOff>
      <xdr:row>15</xdr:row>
      <xdr:rowOff>180975</xdr:rowOff>
    </xdr:from>
    <xdr:to>
      <xdr:col>6</xdr:col>
      <xdr:colOff>95250</xdr:colOff>
      <xdr:row>23</xdr:row>
      <xdr:rowOff>38100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630"/>
        <a:stretch/>
      </xdr:blipFill>
      <xdr:spPr>
        <a:xfrm>
          <a:off x="139598" y="2828925"/>
          <a:ext cx="1098652" cy="1381125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30</xdr:col>
      <xdr:colOff>152400</xdr:colOff>
      <xdr:row>16</xdr:row>
      <xdr:rowOff>9526</xdr:rowOff>
    </xdr:from>
    <xdr:to>
      <xdr:col>36</xdr:col>
      <xdr:colOff>76200</xdr:colOff>
      <xdr:row>23</xdr:row>
      <xdr:rowOff>28576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pSpPr/>
      </xdr:nvGrpSpPr>
      <xdr:grpSpPr>
        <a:xfrm>
          <a:off x="5867400" y="3133726"/>
          <a:ext cx="1066800" cy="1306830"/>
          <a:chOff x="7297293" y="2273427"/>
          <a:chExt cx="1511046" cy="247650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r="62427"/>
          <a:stretch/>
        </xdr:blipFill>
        <xdr:spPr>
          <a:xfrm>
            <a:off x="7297293" y="2273427"/>
            <a:ext cx="737235" cy="2476500"/>
          </a:xfrm>
          <a:prstGeom prst="rect">
            <a:avLst/>
          </a:prstGeom>
          <a:effectLst>
            <a:softEdge rad="31750"/>
          </a:effectLst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l="60563"/>
          <a:stretch/>
        </xdr:blipFill>
        <xdr:spPr>
          <a:xfrm>
            <a:off x="8034528" y="2273427"/>
            <a:ext cx="773811" cy="2476500"/>
          </a:xfrm>
          <a:prstGeom prst="rect">
            <a:avLst/>
          </a:prstGeom>
          <a:effectLst>
            <a:softEdge rad="31750"/>
          </a:effectLst>
        </xdr:spPr>
      </xdr:pic>
    </xdr:grpSp>
    <xdr:clientData/>
  </xdr:twoCellAnchor>
  <xdr:twoCellAnchor>
    <xdr:from>
      <xdr:col>4</xdr:col>
      <xdr:colOff>152400</xdr:colOff>
      <xdr:row>15</xdr:row>
      <xdr:rowOff>114300</xdr:rowOff>
    </xdr:from>
    <xdr:to>
      <xdr:col>6</xdr:col>
      <xdr:colOff>137160</xdr:colOff>
      <xdr:row>17</xdr:row>
      <xdr:rowOff>95250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914400" y="316230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1</a:t>
          </a:r>
        </a:p>
      </xdr:txBody>
    </xdr:sp>
    <xdr:clientData/>
  </xdr:twoCellAnchor>
  <xdr:twoCellAnchor>
    <xdr:from>
      <xdr:col>34</xdr:col>
      <xdr:colOff>142875</xdr:colOff>
      <xdr:row>15</xdr:row>
      <xdr:rowOff>123825</xdr:rowOff>
    </xdr:from>
    <xdr:to>
      <xdr:col>36</xdr:col>
      <xdr:colOff>127635</xdr:colOff>
      <xdr:row>17</xdr:row>
      <xdr:rowOff>104775</xdr:rowOff>
    </xdr:to>
    <xdr:sp macro="" textlink="">
      <xdr:nvSpPr>
        <xdr:cNvPr id="9" name="Oval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6619875" y="277177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2</a:t>
          </a:r>
        </a:p>
      </xdr:txBody>
    </xdr:sp>
    <xdr:clientData/>
  </xdr:twoCellAnchor>
  <xdr:twoCellAnchor editAs="oneCell">
    <xdr:from>
      <xdr:col>1</xdr:col>
      <xdr:colOff>152400</xdr:colOff>
      <xdr:row>37</xdr:row>
      <xdr:rowOff>85725</xdr:rowOff>
    </xdr:from>
    <xdr:to>
      <xdr:col>22</xdr:col>
      <xdr:colOff>151900</xdr:colOff>
      <xdr:row>40</xdr:row>
      <xdr:rowOff>38035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2900" y="6543675"/>
          <a:ext cx="4000000" cy="523810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0</xdr:col>
      <xdr:colOff>161925</xdr:colOff>
      <xdr:row>37</xdr:row>
      <xdr:rowOff>142875</xdr:rowOff>
    </xdr:from>
    <xdr:to>
      <xdr:col>2</xdr:col>
      <xdr:colOff>146685</xdr:colOff>
      <xdr:row>39</xdr:row>
      <xdr:rowOff>123825</xdr:rowOff>
    </xdr:to>
    <xdr:sp macro="" textlink="">
      <xdr:nvSpPr>
        <xdr:cNvPr id="16" name="Oval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>
        <a:xfrm>
          <a:off x="161925" y="660082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4</a:t>
          </a:r>
        </a:p>
      </xdr:txBody>
    </xdr:sp>
    <xdr:clientData/>
  </xdr:twoCellAnchor>
  <xdr:twoCellAnchor editAs="oneCell">
    <xdr:from>
      <xdr:col>18</xdr:col>
      <xdr:colOff>19050</xdr:colOff>
      <xdr:row>49</xdr:row>
      <xdr:rowOff>47625</xdr:rowOff>
    </xdr:from>
    <xdr:to>
      <xdr:col>58</xdr:col>
      <xdr:colOff>141907</xdr:colOff>
      <xdr:row>61</xdr:row>
      <xdr:rowOff>47339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48050" y="8601075"/>
          <a:ext cx="7742857" cy="2285714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0</xdr:col>
      <xdr:colOff>171450</xdr:colOff>
      <xdr:row>57</xdr:row>
      <xdr:rowOff>152400</xdr:rowOff>
    </xdr:from>
    <xdr:to>
      <xdr:col>34</xdr:col>
      <xdr:colOff>151593</xdr:colOff>
      <xdr:row>68</xdr:row>
      <xdr:rowOff>152138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1450" y="11182350"/>
          <a:ext cx="6457143" cy="2095238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17</xdr:col>
      <xdr:colOff>95250</xdr:colOff>
      <xdr:row>48</xdr:row>
      <xdr:rowOff>152400</xdr:rowOff>
    </xdr:from>
    <xdr:to>
      <xdr:col>19</xdr:col>
      <xdr:colOff>80010</xdr:colOff>
      <xdr:row>50</xdr:row>
      <xdr:rowOff>133350</xdr:rowOff>
    </xdr:to>
    <xdr:sp macro="" textlink="">
      <xdr:nvSpPr>
        <xdr:cNvPr id="21" name="Oval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>
          <a:off x="3333750" y="851535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5</a:t>
          </a:r>
        </a:p>
      </xdr:txBody>
    </xdr:sp>
    <xdr:clientData/>
  </xdr:twoCellAnchor>
  <xdr:twoCellAnchor editAs="oneCell">
    <xdr:from>
      <xdr:col>19</xdr:col>
      <xdr:colOff>180975</xdr:colOff>
      <xdr:row>70</xdr:row>
      <xdr:rowOff>123825</xdr:rowOff>
    </xdr:from>
    <xdr:to>
      <xdr:col>60</xdr:col>
      <xdr:colOff>8570</xdr:colOff>
      <xdr:row>80</xdr:row>
      <xdr:rowOff>37873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00475" y="12677775"/>
          <a:ext cx="7638095" cy="1819048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19</xdr:col>
      <xdr:colOff>66675</xdr:colOff>
      <xdr:row>70</xdr:row>
      <xdr:rowOff>66675</xdr:rowOff>
    </xdr:from>
    <xdr:to>
      <xdr:col>21</xdr:col>
      <xdr:colOff>51435</xdr:colOff>
      <xdr:row>72</xdr:row>
      <xdr:rowOff>47625</xdr:rowOff>
    </xdr:to>
    <xdr:sp macro="" textlink="">
      <xdr:nvSpPr>
        <xdr:cNvPr id="23" name="Oval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/>
      </xdr:nvSpPr>
      <xdr:spPr>
        <a:xfrm>
          <a:off x="3686175" y="1262062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6</a:t>
          </a:r>
        </a:p>
      </xdr:txBody>
    </xdr:sp>
    <xdr:clientData/>
  </xdr:twoCellAnchor>
  <xdr:twoCellAnchor editAs="oneCell">
    <xdr:from>
      <xdr:col>0</xdr:col>
      <xdr:colOff>114300</xdr:colOff>
      <xdr:row>75</xdr:row>
      <xdr:rowOff>47625</xdr:rowOff>
    </xdr:from>
    <xdr:to>
      <xdr:col>17</xdr:col>
      <xdr:colOff>171038</xdr:colOff>
      <xdr:row>78</xdr:row>
      <xdr:rowOff>28506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4300" y="13554075"/>
          <a:ext cx="3295238" cy="552381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1</xdr:col>
      <xdr:colOff>142875</xdr:colOff>
      <xdr:row>87</xdr:row>
      <xdr:rowOff>152400</xdr:rowOff>
    </xdr:from>
    <xdr:to>
      <xdr:col>25</xdr:col>
      <xdr:colOff>85161</xdr:colOff>
      <xdr:row>100</xdr:row>
      <xdr:rowOff>75900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33375" y="16563975"/>
          <a:ext cx="4514286" cy="2400000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36</xdr:col>
      <xdr:colOff>123825</xdr:colOff>
      <xdr:row>82</xdr:row>
      <xdr:rowOff>47625</xdr:rowOff>
    </xdr:from>
    <xdr:to>
      <xdr:col>45</xdr:col>
      <xdr:colOff>47420</xdr:colOff>
      <xdr:row>89</xdr:row>
      <xdr:rowOff>114119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981825" y="15459075"/>
          <a:ext cx="1638095" cy="1447619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43</xdr:col>
      <xdr:colOff>123825</xdr:colOff>
      <xdr:row>82</xdr:row>
      <xdr:rowOff>0</xdr:rowOff>
    </xdr:from>
    <xdr:to>
      <xdr:col>45</xdr:col>
      <xdr:colOff>108585</xdr:colOff>
      <xdr:row>83</xdr:row>
      <xdr:rowOff>171450</xdr:rowOff>
    </xdr:to>
    <xdr:sp macro="" textlink="">
      <xdr:nvSpPr>
        <xdr:cNvPr id="33" name="Oval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/>
      </xdr:nvSpPr>
      <xdr:spPr>
        <a:xfrm>
          <a:off x="8315325" y="1541145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7</a:t>
          </a:r>
        </a:p>
      </xdr:txBody>
    </xdr:sp>
    <xdr:clientData/>
  </xdr:twoCellAnchor>
  <xdr:twoCellAnchor>
    <xdr:from>
      <xdr:col>24</xdr:col>
      <xdr:colOff>28575</xdr:colOff>
      <xdr:row>86</xdr:row>
      <xdr:rowOff>171450</xdr:rowOff>
    </xdr:from>
    <xdr:to>
      <xdr:col>26</xdr:col>
      <xdr:colOff>13335</xdr:colOff>
      <xdr:row>88</xdr:row>
      <xdr:rowOff>152400</xdr:rowOff>
    </xdr:to>
    <xdr:sp macro="" textlink="">
      <xdr:nvSpPr>
        <xdr:cNvPr id="34" name="Oval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>
        <a:xfrm>
          <a:off x="4600575" y="1639252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8</a:t>
          </a:r>
        </a:p>
      </xdr:txBody>
    </xdr:sp>
    <xdr:clientData/>
  </xdr:twoCellAnchor>
  <xdr:twoCellAnchor>
    <xdr:from>
      <xdr:col>56</xdr:col>
      <xdr:colOff>180975</xdr:colOff>
      <xdr:row>95</xdr:row>
      <xdr:rowOff>171450</xdr:rowOff>
    </xdr:from>
    <xdr:to>
      <xdr:col>58</xdr:col>
      <xdr:colOff>165735</xdr:colOff>
      <xdr:row>97</xdr:row>
      <xdr:rowOff>152400</xdr:rowOff>
    </xdr:to>
    <xdr:sp macro="" textlink="">
      <xdr:nvSpPr>
        <xdr:cNvPr id="37" name="Oval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/>
      </xdr:nvSpPr>
      <xdr:spPr>
        <a:xfrm>
          <a:off x="10848975" y="1821180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9</a:t>
          </a:r>
        </a:p>
      </xdr:txBody>
    </xdr:sp>
    <xdr:clientData/>
  </xdr:twoCellAnchor>
  <xdr:twoCellAnchor>
    <xdr:from>
      <xdr:col>12</xdr:col>
      <xdr:colOff>57150</xdr:colOff>
      <xdr:row>103</xdr:row>
      <xdr:rowOff>9525</xdr:rowOff>
    </xdr:from>
    <xdr:to>
      <xdr:col>14</xdr:col>
      <xdr:colOff>41910</xdr:colOff>
      <xdr:row>104</xdr:row>
      <xdr:rowOff>180975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GrpSpPr/>
      </xdr:nvGrpSpPr>
      <xdr:grpSpPr>
        <a:xfrm>
          <a:off x="2343150" y="19128105"/>
          <a:ext cx="365760" cy="354330"/>
          <a:chOff x="3257550" y="19583400"/>
          <a:chExt cx="365760" cy="361950"/>
        </a:xfrm>
      </xdr:grpSpPr>
      <xdr:sp macro="" textlink="">
        <xdr:nvSpPr>
          <xdr:cNvPr id="40" name="Oval 39">
            <a:extLst>
              <a:ext uri="{FF2B5EF4-FFF2-40B4-BE49-F238E27FC236}">
                <a16:creationId xmlns:a16="http://schemas.microsoft.com/office/drawing/2014/main" id="{00000000-0008-0000-0400-000028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41" name="TextBox 40">
            <a:extLst>
              <a:ext uri="{FF2B5EF4-FFF2-40B4-BE49-F238E27FC236}">
                <a16:creationId xmlns:a16="http://schemas.microsoft.com/office/drawing/2014/main" id="{00000000-0008-0000-0400-000029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10</a:t>
            </a:r>
          </a:p>
        </xdr:txBody>
      </xdr:sp>
    </xdr:grpSp>
    <xdr:clientData/>
  </xdr:twoCellAnchor>
  <xdr:twoCellAnchor editAs="oneCell">
    <xdr:from>
      <xdr:col>2</xdr:col>
      <xdr:colOff>9525</xdr:colOff>
      <xdr:row>105</xdr:row>
      <xdr:rowOff>104775</xdr:rowOff>
    </xdr:from>
    <xdr:to>
      <xdr:col>18</xdr:col>
      <xdr:colOff>75811</xdr:colOff>
      <xdr:row>109</xdr:row>
      <xdr:rowOff>114204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90525" y="20154900"/>
          <a:ext cx="3114286" cy="771429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44</xdr:col>
      <xdr:colOff>104775</xdr:colOff>
      <xdr:row>113</xdr:row>
      <xdr:rowOff>57150</xdr:rowOff>
    </xdr:from>
    <xdr:to>
      <xdr:col>56</xdr:col>
      <xdr:colOff>133061</xdr:colOff>
      <xdr:row>114</xdr:row>
      <xdr:rowOff>123793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486775" y="21631275"/>
          <a:ext cx="2314286" cy="257143"/>
        </a:xfrm>
        <a:prstGeom prst="rect">
          <a:avLst/>
        </a:prstGeom>
        <a:effectLst>
          <a:softEdge rad="31750"/>
        </a:effectLst>
      </xdr:spPr>
    </xdr:pic>
    <xdr:clientData/>
  </xdr:twoCellAnchor>
  <xdr:twoCellAnchor>
    <xdr:from>
      <xdr:col>43</xdr:col>
      <xdr:colOff>9525</xdr:colOff>
      <xdr:row>113</xdr:row>
      <xdr:rowOff>9525</xdr:rowOff>
    </xdr:from>
    <xdr:to>
      <xdr:col>44</xdr:col>
      <xdr:colOff>184785</xdr:colOff>
      <xdr:row>114</xdr:row>
      <xdr:rowOff>180975</xdr:rowOff>
    </xdr:to>
    <xdr:grpSp>
      <xdr:nvGrpSpPr>
        <xdr:cNvPr id="50" name="Group 49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GrpSpPr/>
      </xdr:nvGrpSpPr>
      <xdr:grpSpPr>
        <a:xfrm>
          <a:off x="8201025" y="20956905"/>
          <a:ext cx="365760" cy="354330"/>
          <a:chOff x="3257550" y="19583400"/>
          <a:chExt cx="365760" cy="361950"/>
        </a:xfrm>
      </xdr:grpSpPr>
      <xdr:sp macro="" textlink="">
        <xdr:nvSpPr>
          <xdr:cNvPr id="51" name="Oval 50">
            <a:extLst>
              <a:ext uri="{FF2B5EF4-FFF2-40B4-BE49-F238E27FC236}">
                <a16:creationId xmlns:a16="http://schemas.microsoft.com/office/drawing/2014/main" id="{00000000-0008-0000-0400-000033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400-000034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11</a:t>
            </a:r>
          </a:p>
        </xdr:txBody>
      </xdr:sp>
    </xdr:grpSp>
    <xdr:clientData/>
  </xdr:twoCellAnchor>
  <xdr:twoCellAnchor>
    <xdr:from>
      <xdr:col>2</xdr:col>
      <xdr:colOff>66675</xdr:colOff>
      <xdr:row>122</xdr:row>
      <xdr:rowOff>0</xdr:rowOff>
    </xdr:from>
    <xdr:to>
      <xdr:col>14</xdr:col>
      <xdr:colOff>47342</xdr:colOff>
      <xdr:row>126</xdr:row>
      <xdr:rowOff>152286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47675" y="23288625"/>
          <a:ext cx="2266667" cy="914286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45</xdr:col>
      <xdr:colOff>171450</xdr:colOff>
      <xdr:row>121</xdr:row>
      <xdr:rowOff>104775</xdr:rowOff>
    </xdr:from>
    <xdr:to>
      <xdr:col>61</xdr:col>
      <xdr:colOff>190117</xdr:colOff>
      <xdr:row>126</xdr:row>
      <xdr:rowOff>47513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8743950" y="23202900"/>
          <a:ext cx="3066667" cy="895238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29</xdr:col>
      <xdr:colOff>66675</xdr:colOff>
      <xdr:row>120</xdr:row>
      <xdr:rowOff>9525</xdr:rowOff>
    </xdr:from>
    <xdr:to>
      <xdr:col>31</xdr:col>
      <xdr:colOff>51435</xdr:colOff>
      <xdr:row>121</xdr:row>
      <xdr:rowOff>180975</xdr:rowOff>
    </xdr:to>
    <xdr:grpSp>
      <xdr:nvGrpSpPr>
        <xdr:cNvPr id="56" name="Group 55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GrpSpPr/>
      </xdr:nvGrpSpPr>
      <xdr:grpSpPr>
        <a:xfrm>
          <a:off x="5591175" y="22237065"/>
          <a:ext cx="365760" cy="354330"/>
          <a:chOff x="3257550" y="19583400"/>
          <a:chExt cx="365760" cy="361950"/>
        </a:xfrm>
      </xdr:grpSpPr>
      <xdr:sp macro="" textlink="">
        <xdr:nvSpPr>
          <xdr:cNvPr id="57" name="Oval 56">
            <a:extLst>
              <a:ext uri="{FF2B5EF4-FFF2-40B4-BE49-F238E27FC236}">
                <a16:creationId xmlns:a16="http://schemas.microsoft.com/office/drawing/2014/main" id="{00000000-0008-0000-0400-000039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400-00003A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12</a:t>
            </a:r>
          </a:p>
        </xdr:txBody>
      </xdr:sp>
    </xdr:grpSp>
    <xdr:clientData/>
  </xdr:twoCellAnchor>
  <xdr:twoCellAnchor editAs="oneCell">
    <xdr:from>
      <xdr:col>3</xdr:col>
      <xdr:colOff>0</xdr:colOff>
      <xdr:row>133</xdr:row>
      <xdr:rowOff>66675</xdr:rowOff>
    </xdr:from>
    <xdr:to>
      <xdr:col>58</xdr:col>
      <xdr:colOff>36786</xdr:colOff>
      <xdr:row>139</xdr:row>
      <xdr:rowOff>133199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71500" y="25450800"/>
          <a:ext cx="10514286" cy="1209524"/>
        </a:xfrm>
        <a:prstGeom prst="rect">
          <a:avLst/>
        </a:prstGeom>
        <a:effectLst>
          <a:softEdge rad="31750"/>
        </a:effectLst>
      </xdr:spPr>
    </xdr:pic>
    <xdr:clientData/>
  </xdr:twoCellAnchor>
  <xdr:twoCellAnchor>
    <xdr:from>
      <xdr:col>3</xdr:col>
      <xdr:colOff>9525</xdr:colOff>
      <xdr:row>133</xdr:row>
      <xdr:rowOff>0</xdr:rowOff>
    </xdr:from>
    <xdr:to>
      <xdr:col>4</xdr:col>
      <xdr:colOff>184785</xdr:colOff>
      <xdr:row>134</xdr:row>
      <xdr:rowOff>171450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GrpSpPr/>
      </xdr:nvGrpSpPr>
      <xdr:grpSpPr>
        <a:xfrm>
          <a:off x="581025" y="24604980"/>
          <a:ext cx="365760" cy="354330"/>
          <a:chOff x="3257550" y="19583400"/>
          <a:chExt cx="365760" cy="361950"/>
        </a:xfrm>
      </xdr:grpSpPr>
      <xdr:sp macro="" textlink="">
        <xdr:nvSpPr>
          <xdr:cNvPr id="61" name="Oval 60">
            <a:extLst>
              <a:ext uri="{FF2B5EF4-FFF2-40B4-BE49-F238E27FC236}">
                <a16:creationId xmlns:a16="http://schemas.microsoft.com/office/drawing/2014/main" id="{00000000-0008-0000-0400-00003D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400-00003E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13</a:t>
            </a:r>
          </a:p>
        </xdr:txBody>
      </xdr:sp>
    </xdr:grpSp>
    <xdr:clientData/>
  </xdr:twoCellAnchor>
  <xdr:twoCellAnchor>
    <xdr:from>
      <xdr:col>24</xdr:col>
      <xdr:colOff>28575</xdr:colOff>
      <xdr:row>141</xdr:row>
      <xdr:rowOff>152400</xdr:rowOff>
    </xdr:from>
    <xdr:to>
      <xdr:col>26</xdr:col>
      <xdr:colOff>13335</xdr:colOff>
      <xdr:row>143</xdr:row>
      <xdr:rowOff>133350</xdr:rowOff>
    </xdr:to>
    <xdr:grpSp>
      <xdr:nvGrpSpPr>
        <xdr:cNvPr id="64" name="Group 63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GrpSpPr/>
      </xdr:nvGrpSpPr>
      <xdr:grpSpPr>
        <a:xfrm>
          <a:off x="4600575" y="26220420"/>
          <a:ext cx="365760" cy="346710"/>
          <a:chOff x="3257550" y="19583400"/>
          <a:chExt cx="365760" cy="361950"/>
        </a:xfrm>
      </xdr:grpSpPr>
      <xdr:sp macro="" textlink="">
        <xdr:nvSpPr>
          <xdr:cNvPr id="65" name="Oval 64">
            <a:extLst>
              <a:ext uri="{FF2B5EF4-FFF2-40B4-BE49-F238E27FC236}">
                <a16:creationId xmlns:a16="http://schemas.microsoft.com/office/drawing/2014/main" id="{00000000-0008-0000-0400-000041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66" name="TextBox 65">
            <a:extLst>
              <a:ext uri="{FF2B5EF4-FFF2-40B4-BE49-F238E27FC236}">
                <a16:creationId xmlns:a16="http://schemas.microsoft.com/office/drawing/2014/main" id="{00000000-0008-0000-0400-000042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14</a:t>
            </a:r>
          </a:p>
        </xdr:txBody>
      </xdr:sp>
    </xdr:grpSp>
    <xdr:clientData/>
  </xdr:twoCellAnchor>
  <xdr:twoCellAnchor editAs="oneCell">
    <xdr:from>
      <xdr:col>5</xdr:col>
      <xdr:colOff>171450</xdr:colOff>
      <xdr:row>154</xdr:row>
      <xdr:rowOff>152400</xdr:rowOff>
    </xdr:from>
    <xdr:to>
      <xdr:col>57</xdr:col>
      <xdr:colOff>170212</xdr:colOff>
      <xdr:row>172</xdr:row>
      <xdr:rowOff>180543</xdr:rowOff>
    </xdr:to>
    <xdr:pic>
      <xdr:nvPicPr>
        <xdr:cNvPr id="67" name="Picture 66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123950" y="29537025"/>
          <a:ext cx="9904762" cy="3457143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4</xdr:col>
      <xdr:colOff>95250</xdr:colOff>
      <xdr:row>154</xdr:row>
      <xdr:rowOff>85725</xdr:rowOff>
    </xdr:from>
    <xdr:to>
      <xdr:col>6</xdr:col>
      <xdr:colOff>80010</xdr:colOff>
      <xdr:row>156</xdr:row>
      <xdr:rowOff>66675</xdr:rowOff>
    </xdr:to>
    <xdr:grpSp>
      <xdr:nvGrpSpPr>
        <xdr:cNvPr id="68" name="Group 67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GrpSpPr/>
      </xdr:nvGrpSpPr>
      <xdr:grpSpPr>
        <a:xfrm>
          <a:off x="857250" y="28531185"/>
          <a:ext cx="365760" cy="346710"/>
          <a:chOff x="3257550" y="19583400"/>
          <a:chExt cx="365760" cy="361950"/>
        </a:xfrm>
      </xdr:grpSpPr>
      <xdr:sp macro="" textlink="">
        <xdr:nvSpPr>
          <xdr:cNvPr id="69" name="Oval 68">
            <a:extLst>
              <a:ext uri="{FF2B5EF4-FFF2-40B4-BE49-F238E27FC236}">
                <a16:creationId xmlns:a16="http://schemas.microsoft.com/office/drawing/2014/main" id="{00000000-0008-0000-0400-000045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70" name="TextBox 69">
            <a:extLst>
              <a:ext uri="{FF2B5EF4-FFF2-40B4-BE49-F238E27FC236}">
                <a16:creationId xmlns:a16="http://schemas.microsoft.com/office/drawing/2014/main" id="{00000000-0008-0000-0400-000046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15</a:t>
            </a:r>
          </a:p>
        </xdr:txBody>
      </xdr:sp>
    </xdr:grpSp>
    <xdr:clientData/>
  </xdr:twoCellAnchor>
  <xdr:twoCellAnchor editAs="oneCell">
    <xdr:from>
      <xdr:col>14</xdr:col>
      <xdr:colOff>66675</xdr:colOff>
      <xdr:row>24</xdr:row>
      <xdr:rowOff>152400</xdr:rowOff>
    </xdr:from>
    <xdr:to>
      <xdr:col>38</xdr:col>
      <xdr:colOff>18484</xdr:colOff>
      <xdr:row>28</xdr:row>
      <xdr:rowOff>180876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733675" y="4895850"/>
          <a:ext cx="4523809" cy="790476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13</xdr:col>
      <xdr:colOff>152400</xdr:colOff>
      <xdr:row>24</xdr:row>
      <xdr:rowOff>0</xdr:rowOff>
    </xdr:from>
    <xdr:to>
      <xdr:col>15</xdr:col>
      <xdr:colOff>137160</xdr:colOff>
      <xdr:row>25</xdr:row>
      <xdr:rowOff>171450</xdr:rowOff>
    </xdr:to>
    <xdr:sp macro="" textlink="">
      <xdr:nvSpPr>
        <xdr:cNvPr id="11" name="Oval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2628900" y="474345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3</a:t>
          </a:r>
        </a:p>
      </xdr:txBody>
    </xdr:sp>
    <xdr:clientData/>
  </xdr:twoCellAnchor>
  <xdr:twoCellAnchor>
    <xdr:from>
      <xdr:col>30</xdr:col>
      <xdr:colOff>19050</xdr:colOff>
      <xdr:row>96</xdr:row>
      <xdr:rowOff>47625</xdr:rowOff>
    </xdr:from>
    <xdr:to>
      <xdr:col>59</xdr:col>
      <xdr:colOff>132645</xdr:colOff>
      <xdr:row>111</xdr:row>
      <xdr:rowOff>9173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GrpSpPr/>
      </xdr:nvGrpSpPr>
      <xdr:grpSpPr>
        <a:xfrm>
          <a:off x="5734050" y="17878425"/>
          <a:ext cx="5638095" cy="2712368"/>
          <a:chOff x="5734050" y="18554700"/>
          <a:chExt cx="5638095" cy="2819048"/>
        </a:xfrm>
      </xdr:grpSpPr>
      <xdr:pic>
        <xdr:nvPicPr>
          <xdr:cNvPr id="36" name="Picture 35">
            <a:extLst>
              <a:ext uri="{FF2B5EF4-FFF2-40B4-BE49-F238E27FC236}">
                <a16:creationId xmlns:a16="http://schemas.microsoft.com/office/drawing/2014/main" id="{00000000-0008-0000-0400-00002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5734050" y="18554700"/>
            <a:ext cx="5638095" cy="2819048"/>
          </a:xfrm>
          <a:prstGeom prst="rect">
            <a:avLst/>
          </a:prstGeom>
          <a:ln>
            <a:noFill/>
          </a:ln>
          <a:effectLst>
            <a:softEdge rad="112500"/>
          </a:effectLst>
        </xdr:spPr>
      </xdr:pic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00000000-0008-0000-0400-00000E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8"/>
          <a:srcRect r="5129" b="21728"/>
          <a:stretch/>
        </xdr:blipFill>
        <xdr:spPr>
          <a:xfrm>
            <a:off x="10201275" y="20031075"/>
            <a:ext cx="1057275" cy="171450"/>
          </a:xfrm>
          <a:prstGeom prst="rect">
            <a:avLst/>
          </a:prstGeom>
        </xdr:spPr>
      </xdr:pic>
    </xdr:grpSp>
    <xdr:clientData/>
  </xdr:twoCellAnchor>
  <xdr:twoCellAnchor>
    <xdr:from>
      <xdr:col>24</xdr:col>
      <xdr:colOff>47625</xdr:colOff>
      <xdr:row>142</xdr:row>
      <xdr:rowOff>66675</xdr:rowOff>
    </xdr:from>
    <xdr:to>
      <xdr:col>58</xdr:col>
      <xdr:colOff>18244</xdr:colOff>
      <xdr:row>148</xdr:row>
      <xdr:rowOff>180818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pSpPr/>
      </xdr:nvGrpSpPr>
      <xdr:grpSpPr>
        <a:xfrm>
          <a:off x="4619625" y="26317575"/>
          <a:ext cx="6447619" cy="1211423"/>
          <a:chOff x="4619625" y="27336750"/>
          <a:chExt cx="6447619" cy="1257143"/>
        </a:xfrm>
      </xdr:grpSpPr>
      <xdr:pic>
        <xdr:nvPicPr>
          <xdr:cNvPr id="63" name="Picture 62">
            <a:extLst>
              <a:ext uri="{FF2B5EF4-FFF2-40B4-BE49-F238E27FC236}">
                <a16:creationId xmlns:a16="http://schemas.microsoft.com/office/drawing/2014/main" id="{00000000-0008-0000-0400-00003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/>
          <a:stretch>
            <a:fillRect/>
          </a:stretch>
        </xdr:blipFill>
        <xdr:spPr>
          <a:xfrm>
            <a:off x="4619625" y="27336750"/>
            <a:ext cx="6447619" cy="1257143"/>
          </a:xfrm>
          <a:prstGeom prst="rect">
            <a:avLst/>
          </a:prstGeom>
        </xdr:spPr>
      </xdr:pic>
      <xdr:pic>
        <xdr:nvPicPr>
          <xdr:cNvPr id="18" name="Picture 17">
            <a:extLst>
              <a:ext uri="{FF2B5EF4-FFF2-40B4-BE49-F238E27FC236}">
                <a16:creationId xmlns:a16="http://schemas.microsoft.com/office/drawing/2014/main" id="{00000000-0008-0000-04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9229725" y="27393900"/>
            <a:ext cx="1219048" cy="219048"/>
          </a:xfrm>
          <a:prstGeom prst="rect">
            <a:avLst/>
          </a:prstGeom>
        </xdr:spPr>
      </xdr:pic>
      <xdr:pic>
        <xdr:nvPicPr>
          <xdr:cNvPr id="19" name="Picture 18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9839325" y="27403425"/>
            <a:ext cx="1219048" cy="219048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vikas.burman@nagarro.com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B2:C59"/>
  <sheetViews>
    <sheetView workbookViewId="0">
      <selection activeCell="B51" sqref="B51:C55"/>
    </sheetView>
  </sheetViews>
  <sheetFormatPr defaultRowHeight="14.4" outlineLevelRow="1" x14ac:dyDescent="0.3"/>
  <cols>
    <col min="1" max="1" width="3.77734375" customWidth="1"/>
    <col min="2" max="2" width="14.21875" customWidth="1"/>
    <col min="3" max="3" width="32.21875" customWidth="1"/>
  </cols>
  <sheetData>
    <row r="2" spans="2:3" collapsed="1" x14ac:dyDescent="0.3">
      <c r="B2" s="3" t="s">
        <v>16</v>
      </c>
      <c r="C2" s="4"/>
    </row>
    <row r="3" spans="2:3" hidden="1" outlineLevel="1" x14ac:dyDescent="0.3">
      <c r="B3" s="2" t="s">
        <v>23</v>
      </c>
      <c r="C3" s="2"/>
    </row>
    <row r="4" spans="2:3" hidden="1" outlineLevel="1" x14ac:dyDescent="0.3">
      <c r="B4" s="2" t="s">
        <v>6</v>
      </c>
      <c r="C4" s="2"/>
    </row>
    <row r="5" spans="2:3" hidden="1" outlineLevel="1" x14ac:dyDescent="0.3">
      <c r="B5" s="2" t="s">
        <v>7</v>
      </c>
      <c r="C5" s="2"/>
    </row>
    <row r="7" spans="2:3" collapsed="1" x14ac:dyDescent="0.3">
      <c r="B7" s="3" t="s">
        <v>17</v>
      </c>
      <c r="C7" s="4"/>
    </row>
    <row r="8" spans="2:3" hidden="1" outlineLevel="1" x14ac:dyDescent="0.3">
      <c r="B8" s="2" t="s">
        <v>23</v>
      </c>
      <c r="C8" s="2"/>
    </row>
    <row r="9" spans="2:3" hidden="1" outlineLevel="1" x14ac:dyDescent="0.3">
      <c r="B9" s="2" t="s">
        <v>8</v>
      </c>
      <c r="C9" s="2"/>
    </row>
    <row r="10" spans="2:3" hidden="1" outlineLevel="1" x14ac:dyDescent="0.3">
      <c r="B10" s="2" t="s">
        <v>13</v>
      </c>
      <c r="C10" s="2"/>
    </row>
    <row r="11" spans="2:3" hidden="1" outlineLevel="1" x14ac:dyDescent="0.3">
      <c r="B11" s="2" t="s">
        <v>14</v>
      </c>
      <c r="C11" s="2"/>
    </row>
    <row r="12" spans="2:3" hidden="1" outlineLevel="1" x14ac:dyDescent="0.3">
      <c r="B12" s="2" t="s">
        <v>15</v>
      </c>
      <c r="C12" s="2"/>
    </row>
    <row r="13" spans="2:3" hidden="1" outlineLevel="1" x14ac:dyDescent="0.3">
      <c r="B13" s="2" t="s">
        <v>9</v>
      </c>
      <c r="C13" s="2"/>
    </row>
    <row r="14" spans="2:3" hidden="1" outlineLevel="1" x14ac:dyDescent="0.3">
      <c r="B14" s="2" t="s">
        <v>10</v>
      </c>
      <c r="C14" s="2"/>
    </row>
    <row r="15" spans="2:3" hidden="1" outlineLevel="1" x14ac:dyDescent="0.3">
      <c r="B15" s="2" t="s">
        <v>12</v>
      </c>
      <c r="C15" s="2"/>
    </row>
    <row r="16" spans="2:3" hidden="1" outlineLevel="1" x14ac:dyDescent="0.3">
      <c r="B16" s="2" t="s">
        <v>11</v>
      </c>
      <c r="C16" s="2"/>
    </row>
    <row r="18" spans="2:3" collapsed="1" x14ac:dyDescent="0.3">
      <c r="B18" s="3" t="s">
        <v>24</v>
      </c>
      <c r="C18" s="4"/>
    </row>
    <row r="19" spans="2:3" hidden="1" outlineLevel="1" x14ac:dyDescent="0.3">
      <c r="B19" s="2" t="s">
        <v>23</v>
      </c>
      <c r="C19" s="2"/>
    </row>
    <row r="20" spans="2:3" hidden="1" outlineLevel="1" x14ac:dyDescent="0.3">
      <c r="B20" s="2" t="s">
        <v>18</v>
      </c>
      <c r="C20" s="2"/>
    </row>
    <row r="21" spans="2:3" hidden="1" outlineLevel="1" x14ac:dyDescent="0.3">
      <c r="B21" s="2" t="s">
        <v>19</v>
      </c>
      <c r="C21" s="2"/>
    </row>
    <row r="22" spans="2:3" hidden="1" outlineLevel="1" x14ac:dyDescent="0.3">
      <c r="B22" s="2" t="s">
        <v>20</v>
      </c>
      <c r="C22" s="2"/>
    </row>
    <row r="23" spans="2:3" hidden="1" outlineLevel="1" x14ac:dyDescent="0.3">
      <c r="B23" s="2" t="s">
        <v>21</v>
      </c>
      <c r="C23" s="2"/>
    </row>
    <row r="24" spans="2:3" hidden="1" outlineLevel="1" x14ac:dyDescent="0.3">
      <c r="B24" s="2" t="s">
        <v>22</v>
      </c>
      <c r="C24" s="2"/>
    </row>
    <row r="26" spans="2:3" collapsed="1" x14ac:dyDescent="0.3">
      <c r="B26" s="3" t="s">
        <v>28</v>
      </c>
      <c r="C26" s="4"/>
    </row>
    <row r="27" spans="2:3" hidden="1" outlineLevel="1" x14ac:dyDescent="0.3">
      <c r="B27" s="2" t="s">
        <v>23</v>
      </c>
      <c r="C27" s="2"/>
    </row>
    <row r="28" spans="2:3" hidden="1" outlineLevel="1" x14ac:dyDescent="0.3">
      <c r="B28" s="2" t="s">
        <v>25</v>
      </c>
      <c r="C28" s="2"/>
    </row>
    <row r="29" spans="2:3" hidden="1" outlineLevel="1" x14ac:dyDescent="0.3">
      <c r="B29" s="2" t="s">
        <v>27</v>
      </c>
      <c r="C29" s="2"/>
    </row>
    <row r="31" spans="2:3" collapsed="1" x14ac:dyDescent="0.3">
      <c r="B31" s="3" t="s">
        <v>35</v>
      </c>
      <c r="C31" s="3"/>
    </row>
    <row r="32" spans="2:3" hidden="1" outlineLevel="1" x14ac:dyDescent="0.3">
      <c r="B32" s="2" t="s">
        <v>23</v>
      </c>
      <c r="C32" s="2"/>
    </row>
    <row r="33" spans="2:3" hidden="1" outlineLevel="1" x14ac:dyDescent="0.3">
      <c r="B33" s="2" t="s">
        <v>32</v>
      </c>
      <c r="C33" s="2"/>
    </row>
    <row r="34" spans="2:3" hidden="1" outlineLevel="1" x14ac:dyDescent="0.3">
      <c r="B34" s="2" t="s">
        <v>33</v>
      </c>
      <c r="C34" s="2"/>
    </row>
    <row r="35" spans="2:3" hidden="1" outlineLevel="1" x14ac:dyDescent="0.3">
      <c r="B35" s="2" t="s">
        <v>34</v>
      </c>
      <c r="C35" s="2"/>
    </row>
    <row r="37" spans="2:3" collapsed="1" x14ac:dyDescent="0.3">
      <c r="B37" s="3" t="s">
        <v>37</v>
      </c>
      <c r="C37" s="3"/>
    </row>
    <row r="38" spans="2:3" hidden="1" outlineLevel="1" x14ac:dyDescent="0.3">
      <c r="B38" s="2" t="s">
        <v>23</v>
      </c>
      <c r="C38" s="2"/>
    </row>
    <row r="39" spans="2:3" hidden="1" outlineLevel="1" x14ac:dyDescent="0.3">
      <c r="B39" s="2" t="s">
        <v>38</v>
      </c>
      <c r="C39" s="2"/>
    </row>
    <row r="40" spans="2:3" hidden="1" outlineLevel="1" x14ac:dyDescent="0.3">
      <c r="B40" s="2" t="s">
        <v>39</v>
      </c>
      <c r="C40" s="2"/>
    </row>
    <row r="41" spans="2:3" hidden="1" outlineLevel="1" x14ac:dyDescent="0.3">
      <c r="B41" s="2" t="s">
        <v>40</v>
      </c>
      <c r="C41" s="2"/>
    </row>
    <row r="42" spans="2:3" hidden="1" outlineLevel="1" x14ac:dyDescent="0.3">
      <c r="B42" s="2" t="s">
        <v>41</v>
      </c>
      <c r="C42" s="2"/>
    </row>
    <row r="44" spans="2:3" collapsed="1" x14ac:dyDescent="0.3">
      <c r="B44" s="3" t="s">
        <v>44</v>
      </c>
      <c r="C44" s="4"/>
    </row>
    <row r="45" spans="2:3" hidden="1" outlineLevel="1" x14ac:dyDescent="0.3">
      <c r="B45" s="2" t="s">
        <v>23</v>
      </c>
      <c r="C45" s="2"/>
    </row>
    <row r="46" spans="2:3" hidden="1" outlineLevel="1" x14ac:dyDescent="0.3">
      <c r="B46" s="2" t="s">
        <v>42</v>
      </c>
      <c r="C46" s="2"/>
    </row>
    <row r="47" spans="2:3" hidden="1" outlineLevel="1" x14ac:dyDescent="0.3">
      <c r="B47" s="2" t="s">
        <v>43</v>
      </c>
      <c r="C47" s="2"/>
    </row>
    <row r="48" spans="2:3" hidden="1" outlineLevel="1" x14ac:dyDescent="0.3">
      <c r="B48" s="2" t="s">
        <v>45</v>
      </c>
      <c r="C48" s="2"/>
    </row>
    <row r="50" spans="2:3" collapsed="1" x14ac:dyDescent="0.3">
      <c r="B50" s="3" t="s">
        <v>52</v>
      </c>
      <c r="C50" s="3"/>
    </row>
    <row r="51" spans="2:3" hidden="1" outlineLevel="1" x14ac:dyDescent="0.3">
      <c r="B51" s="2" t="s">
        <v>54</v>
      </c>
      <c r="C51" s="163">
        <f>IF(MIN_EFFORT_PERCENT &lt; 0, MIN_EFFORT_PERCENT, MIN_EFFORT_PERCENT*-1)</f>
        <v>-0.2</v>
      </c>
    </row>
    <row r="52" spans="2:3" hidden="1" outlineLevel="1" x14ac:dyDescent="0.3">
      <c r="B52" s="2" t="s">
        <v>126</v>
      </c>
      <c r="C52" s="163">
        <f>CUSTOM_PERCENT*-1</f>
        <v>-0.25</v>
      </c>
    </row>
    <row r="53" spans="2:3" hidden="1" outlineLevel="1" x14ac:dyDescent="0.3">
      <c r="B53" s="2" t="s">
        <v>55</v>
      </c>
      <c r="C53" s="163">
        <v>0</v>
      </c>
    </row>
    <row r="54" spans="2:3" hidden="1" outlineLevel="1" x14ac:dyDescent="0.3">
      <c r="B54" s="2" t="s">
        <v>127</v>
      </c>
      <c r="C54" s="163">
        <f>CUSTOM_PERCENT</f>
        <v>0.25</v>
      </c>
    </row>
    <row r="55" spans="2:3" hidden="1" outlineLevel="1" x14ac:dyDescent="0.3">
      <c r="B55" s="2" t="s">
        <v>53</v>
      </c>
      <c r="C55" s="163">
        <f>MAX_EFFORT_PERCENT</f>
        <v>0.2</v>
      </c>
    </row>
    <row r="57" spans="2:3" collapsed="1" x14ac:dyDescent="0.3">
      <c r="B57" s="3" t="s">
        <v>61</v>
      </c>
      <c r="C57" s="3"/>
    </row>
    <row r="58" spans="2:3" hidden="1" outlineLevel="1" x14ac:dyDescent="0.3">
      <c r="B58" s="2" t="s">
        <v>63</v>
      </c>
      <c r="C58" s="2"/>
    </row>
    <row r="59" spans="2:3" hidden="1" outlineLevel="1" x14ac:dyDescent="0.3">
      <c r="B59" s="2" t="s">
        <v>1</v>
      </c>
      <c r="C59" s="2"/>
    </row>
  </sheetData>
  <pageMargins left="0.7" right="0.7" top="0.75" bottom="0.75" header="0.3" footer="0.3"/>
  <pageSetup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outlinePr summaryBelow="0" summaryRight="0"/>
  </sheetPr>
  <dimension ref="A1:AD434"/>
  <sheetViews>
    <sheetView showGridLines="0" tabSelected="1" zoomScale="85" zoomScaleNormal="85" workbookViewId="0">
      <pane xSplit="11" ySplit="11" topLeftCell="L12" activePane="bottomRight" state="frozenSplit"/>
      <selection pane="topRight" activeCell="M1" sqref="M1"/>
      <selection pane="bottomLeft" activeCell="A17" sqref="A17"/>
      <selection pane="bottomRight" activeCell="L12" sqref="L12"/>
    </sheetView>
  </sheetViews>
  <sheetFormatPr defaultColWidth="9.21875" defaultRowHeight="14.4" outlineLevelRow="2" outlineLevelCol="1" x14ac:dyDescent="0.3"/>
  <cols>
    <col min="1" max="1" width="1" style="93" customWidth="1"/>
    <col min="2" max="2" width="1" style="10" customWidth="1"/>
    <col min="3" max="5" width="1" style="80" customWidth="1"/>
    <col min="6" max="6" width="3" style="80" customWidth="1" collapsed="1"/>
    <col min="7" max="7" width="8.5546875" style="19" hidden="1" customWidth="1" outlineLevel="1"/>
    <col min="8" max="8" width="8.44140625" style="19" hidden="1" customWidth="1" outlineLevel="1"/>
    <col min="9" max="9" width="7.21875" style="19" hidden="1" customWidth="1" outlineLevel="1"/>
    <col min="10" max="10" width="7.77734375" style="19" hidden="1" customWidth="1" outlineLevel="1"/>
    <col min="11" max="11" width="37.44140625" style="19" hidden="1" customWidth="1" outlineLevel="1"/>
    <col min="12" max="12" width="3.77734375" style="19" customWidth="1"/>
    <col min="13" max="13" width="5.77734375" style="293" customWidth="1"/>
    <col min="14" max="14" width="42.77734375" style="27" customWidth="1"/>
    <col min="15" max="15" width="13.21875" style="27" customWidth="1"/>
    <col min="16" max="16" width="17.21875" style="19" customWidth="1"/>
    <col min="17" max="17" width="7" style="19" customWidth="1"/>
    <col min="18" max="18" width="6.44140625" style="19" customWidth="1"/>
    <col min="19" max="19" width="12" style="19" customWidth="1"/>
    <col min="20" max="20" width="10.77734375" style="19" customWidth="1"/>
    <col min="21" max="21" width="6.77734375" style="19" customWidth="1" outlineLevel="1"/>
    <col min="22" max="22" width="6.21875" style="19" customWidth="1" outlineLevel="1"/>
    <col min="23" max="23" width="6" style="19" customWidth="1" outlineLevel="1"/>
    <col min="24" max="24" width="11.77734375" style="19" customWidth="1" outlineLevel="1"/>
    <col min="25" max="25" width="11" style="19" customWidth="1" outlineLevel="1"/>
    <col min="26" max="26" width="6.5546875" style="19" customWidth="1" outlineLevel="1"/>
    <col min="27" max="27" width="11" style="19" customWidth="1" outlineLevel="1"/>
    <col min="28" max="28" width="35.77734375" style="27" customWidth="1"/>
    <col min="29" max="29" width="1.44140625" style="12" customWidth="1"/>
    <col min="30" max="30" width="19" style="12" customWidth="1"/>
    <col min="31" max="16384" width="9.21875" style="19"/>
  </cols>
  <sheetData>
    <row r="1" spans="1:30" s="11" customFormat="1" ht="4.5" customHeight="1" x14ac:dyDescent="0.3">
      <c r="A1" s="93"/>
      <c r="B1" s="10"/>
      <c r="C1" s="78"/>
      <c r="D1" s="78"/>
      <c r="E1" s="78"/>
      <c r="F1" s="78"/>
      <c r="M1" s="275"/>
      <c r="N1" s="12"/>
      <c r="O1" s="12"/>
      <c r="AB1" s="12"/>
      <c r="AC1" s="12"/>
      <c r="AD1" s="12"/>
    </row>
    <row r="2" spans="1:30" s="11" customFormat="1" ht="4.5" customHeight="1" x14ac:dyDescent="0.3">
      <c r="A2" s="94"/>
      <c r="B2" s="10"/>
      <c r="C2" s="302" t="s">
        <v>151</v>
      </c>
      <c r="D2" s="302"/>
      <c r="E2" s="302"/>
      <c r="F2" s="302"/>
      <c r="G2" s="147"/>
      <c r="H2" s="147"/>
      <c r="I2" s="147"/>
      <c r="J2" s="147"/>
      <c r="K2" s="147"/>
      <c r="L2" s="147"/>
      <c r="M2" s="276"/>
      <c r="N2" s="148"/>
      <c r="O2" s="147"/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7"/>
      <c r="AA2" s="147"/>
      <c r="AB2" s="147"/>
      <c r="AC2" s="147"/>
      <c r="AD2" s="12"/>
    </row>
    <row r="3" spans="1:30" s="11" customFormat="1" ht="23.25" customHeight="1" x14ac:dyDescent="0.5">
      <c r="A3" s="94"/>
      <c r="B3" s="10"/>
      <c r="C3" s="302"/>
      <c r="D3" s="302"/>
      <c r="E3" s="302"/>
      <c r="F3" s="302"/>
      <c r="G3" s="308" t="s">
        <v>529</v>
      </c>
      <c r="H3" s="308"/>
      <c r="I3" s="308"/>
      <c r="J3" s="308"/>
      <c r="K3" s="297" t="s">
        <v>573</v>
      </c>
      <c r="L3" s="95"/>
      <c r="M3" s="277">
        <f>IF(IS_KEY_OPP="Yes", 2, IF(IS_KEY_OPP="No", 0, 1))</f>
        <v>2</v>
      </c>
      <c r="N3" s="149" t="str">
        <f>CLIENT_NAME&amp;" - "&amp;PROJECT_NAME&amp;" ("&amp;PLATFORM&amp;" "&amp;PROJECT_TYPE&amp;" Project)"&amp;IF(RFP_NAME&lt;&gt;"", " - "&amp;RFP_NAME, "")</f>
        <v>Ycompany - Electronic Claims Processing (Web Development Project)</v>
      </c>
      <c r="O3" s="149"/>
      <c r="P3" s="149"/>
      <c r="Q3" s="149"/>
      <c r="R3" s="149"/>
      <c r="S3" s="197"/>
      <c r="T3" s="264" t="str">
        <f>IF(COUNTIF(AD9:AD255, "Error:*") = 0, "", COUNTIF(AD9:AD255, "Error:*") &amp; " errors")</f>
        <v/>
      </c>
      <c r="U3" s="196"/>
      <c r="V3" s="196"/>
      <c r="W3" s="196"/>
      <c r="X3" s="210" t="s">
        <v>186</v>
      </c>
      <c r="Y3" s="212" t="s">
        <v>190</v>
      </c>
      <c r="Z3" s="214"/>
      <c r="AA3" s="213"/>
      <c r="AB3" s="266"/>
      <c r="AC3" s="95"/>
      <c r="AD3" s="12"/>
    </row>
    <row r="4" spans="1:30" s="11" customFormat="1" ht="4.5" customHeight="1" x14ac:dyDescent="0.3">
      <c r="A4" s="94"/>
      <c r="B4" s="10"/>
      <c r="C4" s="302"/>
      <c r="D4" s="302"/>
      <c r="E4" s="302"/>
      <c r="F4" s="302"/>
      <c r="G4" s="95"/>
      <c r="H4" s="95"/>
      <c r="I4" s="95"/>
      <c r="J4" s="95"/>
      <c r="K4" s="95"/>
      <c r="L4" s="95"/>
      <c r="M4" s="278"/>
      <c r="N4" s="96"/>
      <c r="O4" s="95"/>
      <c r="P4" s="246"/>
      <c r="Q4" s="198"/>
      <c r="R4" s="95"/>
      <c r="S4" s="199"/>
      <c r="T4" s="265"/>
      <c r="U4" s="196"/>
      <c r="V4" s="196"/>
      <c r="W4" s="196"/>
      <c r="X4" s="211"/>
      <c r="Y4" s="212"/>
      <c r="Z4" s="214"/>
      <c r="AA4" s="214"/>
      <c r="AB4" s="95"/>
      <c r="AC4" s="95"/>
      <c r="AD4" s="12"/>
    </row>
    <row r="5" spans="1:30" s="11" customFormat="1" ht="20.25" customHeight="1" x14ac:dyDescent="0.3">
      <c r="A5" s="94"/>
      <c r="B5" s="10"/>
      <c r="C5" s="302"/>
      <c r="D5" s="302"/>
      <c r="E5" s="302"/>
      <c r="F5" s="302"/>
      <c r="G5" s="95"/>
      <c r="H5" s="218"/>
      <c r="I5" s="218" t="s">
        <v>275</v>
      </c>
      <c r="J5" s="309">
        <v>42565</v>
      </c>
      <c r="K5" s="309"/>
      <c r="L5" s="95"/>
      <c r="M5" s="278"/>
      <c r="N5" s="98" t="str">
        <f>IF(TOTAL_EFFORT&lt;=0, "", CHOSEN_CURRENCY&amp;" "&amp;TEXT(CEILING(($W$285/1000),1),"##,##,###")&amp;" K  ●  "&amp;TEXT(TOTAL_EFFORT,"##,##,###")&amp;" PDs ("&amp;TEXT(TOTAL_WEEKS,"##,###"&amp;" Wk)"))</f>
        <v>- 380 K  ●  1,693 PDs (339 Wk)</v>
      </c>
      <c r="O5" s="248"/>
      <c r="P5" s="247"/>
      <c r="Q5" s="254"/>
      <c r="R5" s="193" t="s">
        <v>88</v>
      </c>
      <c r="S5" s="194" t="s">
        <v>55</v>
      </c>
      <c r="T5" s="195">
        <v>0.25</v>
      </c>
      <c r="U5" s="196"/>
      <c r="V5" s="196"/>
      <c r="W5" s="196"/>
      <c r="X5" s="210" t="s">
        <v>187</v>
      </c>
      <c r="Y5" s="212" t="s">
        <v>191</v>
      </c>
      <c r="Z5" s="213"/>
      <c r="AA5" s="213"/>
      <c r="AB5" s="332" t="s">
        <v>110</v>
      </c>
      <c r="AC5" s="97"/>
      <c r="AD5" s="12"/>
    </row>
    <row r="6" spans="1:30" s="11" customFormat="1" ht="20.25" customHeight="1" x14ac:dyDescent="0.3">
      <c r="A6" s="94"/>
      <c r="B6" s="10"/>
      <c r="C6" s="302"/>
      <c r="D6" s="302"/>
      <c r="E6" s="302"/>
      <c r="F6" s="302"/>
      <c r="G6" s="95"/>
      <c r="H6" s="218"/>
      <c r="I6" s="218" t="s">
        <v>276</v>
      </c>
      <c r="J6" s="95" t="s">
        <v>530</v>
      </c>
      <c r="K6" s="95"/>
      <c r="L6" s="95"/>
      <c r="M6" s="279"/>
      <c r="N6" s="143" t="str">
        <f>IF(TOTAL_EFFORT&lt;=0, "", "Auto: "&amp;DURATION&amp;" Wk  ("&amp;CEILING(DURATION/4,0.5)&amp;" M)"&amp;", Manual: "&amp;MANUAL_DURATION&amp;" Wk ("&amp;CEILING(MANUAL_DURATION/4,0.5)&amp;" M)")</f>
        <v>Auto: 144 Wk  (36 M), Manual: -143 Wk (-35.5 M)</v>
      </c>
      <c r="O6" s="249"/>
      <c r="P6" s="247"/>
      <c r="Q6" s="245"/>
      <c r="R6" s="150" t="s">
        <v>62</v>
      </c>
      <c r="S6" s="179" t="s">
        <v>63</v>
      </c>
      <c r="T6" s="180"/>
      <c r="U6" s="196"/>
      <c r="V6" s="196"/>
      <c r="W6" s="196"/>
      <c r="X6" s="210" t="s">
        <v>188</v>
      </c>
      <c r="Y6" s="212" t="s">
        <v>189</v>
      </c>
      <c r="Z6" s="213"/>
      <c r="AA6" s="213"/>
      <c r="AB6" s="332"/>
      <c r="AC6" s="97"/>
      <c r="AD6" s="12"/>
    </row>
    <row r="7" spans="1:30" s="11" customFormat="1" ht="4.5" customHeight="1" x14ac:dyDescent="0.3">
      <c r="A7" s="94"/>
      <c r="B7" s="10"/>
      <c r="C7" s="302"/>
      <c r="D7" s="302"/>
      <c r="E7" s="302"/>
      <c r="F7" s="302"/>
      <c r="G7" s="95"/>
      <c r="H7" s="95"/>
      <c r="I7" s="95"/>
      <c r="J7" s="95"/>
      <c r="K7" s="95"/>
      <c r="L7" s="95"/>
      <c r="M7" s="278"/>
      <c r="N7" s="96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12"/>
    </row>
    <row r="8" spans="1:30" s="11" customFormat="1" ht="1.5" customHeight="1" x14ac:dyDescent="0.3">
      <c r="A8" s="93"/>
      <c r="B8" s="10"/>
      <c r="C8" s="302"/>
      <c r="D8" s="302"/>
      <c r="E8" s="302"/>
      <c r="F8" s="302"/>
      <c r="G8" s="13"/>
      <c r="H8" s="13"/>
      <c r="I8" s="13"/>
      <c r="J8" s="13"/>
      <c r="K8" s="13"/>
      <c r="L8" s="13"/>
      <c r="M8" s="280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2"/>
      <c r="AC8" s="12"/>
      <c r="AD8" s="12"/>
    </row>
    <row r="9" spans="1:30" s="11" customFormat="1" ht="15" customHeight="1" x14ac:dyDescent="0.3">
      <c r="A9" s="93"/>
      <c r="B9" s="10"/>
      <c r="C9" s="302"/>
      <c r="D9" s="302"/>
      <c r="E9" s="302"/>
      <c r="F9" s="302"/>
      <c r="G9" s="304" t="s">
        <v>131</v>
      </c>
      <c r="H9" s="304"/>
      <c r="I9" s="304"/>
      <c r="J9" s="304"/>
      <c r="K9" s="166"/>
      <c r="L9" s="154"/>
      <c r="M9" s="281"/>
      <c r="N9" s="43"/>
      <c r="O9" s="43"/>
      <c r="P9" s="43"/>
      <c r="Q9" s="244"/>
      <c r="R9" s="251" t="s">
        <v>147</v>
      </c>
      <c r="S9" s="208" t="s">
        <v>145</v>
      </c>
      <c r="T9" s="208" t="s">
        <v>146</v>
      </c>
      <c r="U9" s="244"/>
      <c r="V9" s="244"/>
      <c r="W9" s="244"/>
      <c r="X9" s="43"/>
      <c r="Y9" s="43"/>
      <c r="Z9" s="43"/>
      <c r="AA9" s="43"/>
      <c r="AB9" s="153" t="s">
        <v>175</v>
      </c>
      <c r="AC9" s="43"/>
      <c r="AD9" s="12"/>
    </row>
    <row r="10" spans="1:30" s="11" customFormat="1" ht="13.5" customHeight="1" x14ac:dyDescent="0.3">
      <c r="A10" s="93" t="s">
        <v>148</v>
      </c>
      <c r="B10" s="10"/>
      <c r="C10" s="303" t="s">
        <v>109</v>
      </c>
      <c r="D10" s="303"/>
      <c r="E10" s="303"/>
      <c r="F10" s="303"/>
      <c r="G10" s="48" t="s">
        <v>81</v>
      </c>
      <c r="H10" s="49" t="s">
        <v>80</v>
      </c>
      <c r="I10" s="183"/>
      <c r="J10" s="184"/>
      <c r="K10" s="50"/>
      <c r="L10" s="138"/>
      <c r="M10" s="282"/>
      <c r="N10" s="40"/>
      <c r="O10" s="191"/>
      <c r="P10" s="311" t="s">
        <v>57</v>
      </c>
      <c r="Q10" s="312"/>
      <c r="R10" s="313"/>
      <c r="S10" s="41"/>
      <c r="T10" s="250"/>
      <c r="U10" s="311" t="s">
        <v>58</v>
      </c>
      <c r="V10" s="312"/>
      <c r="W10" s="313"/>
      <c r="X10" s="252" t="s">
        <v>89</v>
      </c>
      <c r="Y10" s="69"/>
      <c r="Z10" s="42"/>
      <c r="AA10" s="221"/>
      <c r="AB10" s="40"/>
      <c r="AC10" s="40"/>
      <c r="AD10" s="12"/>
    </row>
    <row r="11" spans="1:30" s="11" customFormat="1" ht="15" customHeight="1" x14ac:dyDescent="0.3">
      <c r="A11" s="93" t="s">
        <v>104</v>
      </c>
      <c r="B11" s="10"/>
      <c r="C11" s="303" t="s">
        <v>152</v>
      </c>
      <c r="D11" s="303"/>
      <c r="E11" s="303"/>
      <c r="F11" s="303"/>
      <c r="G11" s="9" t="s">
        <v>60</v>
      </c>
      <c r="H11" s="51" t="s">
        <v>2</v>
      </c>
      <c r="I11" s="177" t="s">
        <v>133</v>
      </c>
      <c r="J11" s="51" t="s">
        <v>1</v>
      </c>
      <c r="K11" s="7" t="s">
        <v>48</v>
      </c>
      <c r="L11" s="77"/>
      <c r="M11" s="283" t="s">
        <v>82</v>
      </c>
      <c r="N11" s="77"/>
      <c r="O11" s="192" t="s">
        <v>430</v>
      </c>
      <c r="P11" s="7" t="s">
        <v>3</v>
      </c>
      <c r="Q11" s="52" t="s">
        <v>153</v>
      </c>
      <c r="R11" s="51" t="s">
        <v>51</v>
      </c>
      <c r="S11" s="326" t="s">
        <v>59</v>
      </c>
      <c r="T11" s="327"/>
      <c r="U11" s="8" t="s">
        <v>46</v>
      </c>
      <c r="V11" s="8" t="s">
        <v>90</v>
      </c>
      <c r="W11" s="182" t="s">
        <v>47</v>
      </c>
      <c r="X11" s="51" t="s">
        <v>57</v>
      </c>
      <c r="Y11" s="7" t="s">
        <v>64</v>
      </c>
      <c r="Z11" s="51" t="s">
        <v>50</v>
      </c>
      <c r="AA11" s="51" t="s">
        <v>139</v>
      </c>
      <c r="AB11" s="190" t="s">
        <v>444</v>
      </c>
      <c r="AC11" s="6"/>
      <c r="AD11" s="12"/>
    </row>
    <row r="12" spans="1:30" s="17" customFormat="1" ht="18" collapsed="1" x14ac:dyDescent="0.3">
      <c r="A12" s="93" t="s">
        <v>98</v>
      </c>
      <c r="B12" s="14"/>
      <c r="C12" s="306" t="s">
        <v>150</v>
      </c>
      <c r="D12" s="307"/>
      <c r="E12" s="307"/>
      <c r="F12" s="201" t="s">
        <v>149</v>
      </c>
      <c r="G12" s="55"/>
      <c r="H12" s="55"/>
      <c r="I12" s="55"/>
      <c r="J12" s="55"/>
      <c r="K12" s="55"/>
      <c r="L12" s="55" t="s">
        <v>0</v>
      </c>
      <c r="M12" s="284" t="s">
        <v>49</v>
      </c>
      <c r="N12" s="215"/>
      <c r="O12" s="57"/>
      <c r="P12" s="58"/>
      <c r="Q12" s="58"/>
      <c r="R12" s="58"/>
      <c r="S12" s="331">
        <f>CEILING(SUMIF(J13:J64, "&lt;&gt;Yes", T13:T64),1)</f>
        <v>224</v>
      </c>
      <c r="T12" s="331"/>
      <c r="U12" s="58"/>
      <c r="V12" s="58"/>
      <c r="W12" s="58"/>
      <c r="X12" s="58"/>
      <c r="Y12" s="58"/>
      <c r="Z12" s="58"/>
      <c r="AA12" s="58"/>
      <c r="AB12" s="58"/>
      <c r="AC12" s="58"/>
      <c r="AD12" s="16"/>
    </row>
    <row r="13" spans="1:30" s="11" customFormat="1" ht="3" hidden="1" customHeight="1" outlineLevel="1" x14ac:dyDescent="0.3">
      <c r="A13" s="93" t="s">
        <v>99</v>
      </c>
      <c r="B13" s="18"/>
      <c r="C13" s="202"/>
      <c r="D13" s="202"/>
      <c r="E13" s="202"/>
      <c r="F13" s="202"/>
      <c r="G13" s="28"/>
      <c r="H13" s="28"/>
      <c r="I13" s="28"/>
      <c r="J13" s="28"/>
      <c r="K13" s="28"/>
      <c r="L13" s="29">
        <v>0</v>
      </c>
      <c r="M13" s="285"/>
      <c r="N13" s="28"/>
      <c r="O13" s="28"/>
      <c r="P13" s="28"/>
      <c r="Q13" s="28"/>
      <c r="R13" s="28"/>
      <c r="S13" s="28"/>
      <c r="T13" s="30"/>
      <c r="U13" s="28"/>
      <c r="V13" s="28"/>
      <c r="W13" s="28"/>
      <c r="X13" s="30"/>
      <c r="Y13" s="28"/>
      <c r="Z13" s="28"/>
      <c r="AA13" s="28"/>
      <c r="AB13" s="31"/>
      <c r="AC13" s="31"/>
      <c r="AD13" s="12"/>
    </row>
    <row r="14" spans="1:30" s="17" customFormat="1" ht="15.6" hidden="1" outlineLevel="1" collapsed="1" x14ac:dyDescent="0.3">
      <c r="A14" s="93" t="s">
        <v>100</v>
      </c>
      <c r="B14" s="21"/>
      <c r="C14" s="84"/>
      <c r="D14" s="84"/>
      <c r="E14" s="84"/>
      <c r="F14" s="83"/>
      <c r="G14" s="32"/>
      <c r="H14" s="32"/>
      <c r="I14" s="32"/>
      <c r="J14" s="32"/>
      <c r="K14" s="32"/>
      <c r="L14" s="20">
        <f ca="1">LOOKUP(1000,INDIRECT("L1:"&amp;CELL("address",INDIRECT("R[-1]C",FALSE))))+1</f>
        <v>1</v>
      </c>
      <c r="M14" s="301" t="s">
        <v>455</v>
      </c>
      <c r="N14" s="301"/>
      <c r="O14" s="5"/>
      <c r="P14" s="33"/>
      <c r="Q14" s="33"/>
      <c r="R14" s="33"/>
      <c r="S14" s="33"/>
      <c r="T14" s="167">
        <f>IF($S$6="Exclude", SUMIFS(S15:S19, J15:J19, "&lt;&gt;Yes", G15:G19, "&lt;&gt;Yes"), SUMIFS(S15:S19, J15:J19, "&lt;&gt;Yes"))</f>
        <v>34</v>
      </c>
      <c r="U14" s="33"/>
      <c r="V14" s="33"/>
      <c r="W14" s="33"/>
      <c r="X14" s="34"/>
      <c r="Y14" s="35"/>
      <c r="Z14" s="35"/>
      <c r="AA14" s="35"/>
      <c r="AB14" s="240"/>
      <c r="AC14" s="36"/>
      <c r="AD14" s="26" t="str">
        <f>IF(M14="", "Error: Task name cannot be empty.", "")</f>
        <v/>
      </c>
    </row>
    <row r="15" spans="1:30" s="15" customFormat="1" ht="1.5" hidden="1" customHeight="1" outlineLevel="2" x14ac:dyDescent="0.3">
      <c r="A15" s="93" t="s">
        <v>101</v>
      </c>
      <c r="B15" s="21"/>
      <c r="C15" s="84"/>
      <c r="D15" s="84"/>
      <c r="E15" s="84"/>
      <c r="F15" s="83"/>
      <c r="G15" s="32"/>
      <c r="H15" s="32"/>
      <c r="I15" s="32"/>
      <c r="J15" s="32"/>
      <c r="K15" s="32"/>
      <c r="L15" s="175">
        <f ca="1">L14</f>
        <v>1</v>
      </c>
      <c r="M15" s="176" t="s">
        <v>105</v>
      </c>
      <c r="N15" s="173"/>
      <c r="O15" s="174"/>
      <c r="P15" s="33"/>
      <c r="Q15" s="33"/>
      <c r="R15" s="33"/>
      <c r="S15" s="33"/>
      <c r="T15" s="167"/>
      <c r="U15" s="33"/>
      <c r="V15" s="33"/>
      <c r="W15" s="33"/>
      <c r="X15" s="34"/>
      <c r="Y15" s="35"/>
      <c r="Z15" s="35"/>
      <c r="AA15" s="35"/>
      <c r="AB15" s="36"/>
      <c r="AC15" s="36"/>
      <c r="AD15" s="26"/>
    </row>
    <row r="16" spans="1:30" ht="57.6" hidden="1" outlineLevel="2" x14ac:dyDescent="0.3">
      <c r="A16" s="93" t="s">
        <v>0</v>
      </c>
      <c r="B16" s="21"/>
      <c r="C16" s="85"/>
      <c r="D16" s="85"/>
      <c r="E16" s="85"/>
      <c r="F16" s="86"/>
      <c r="G16" s="22" t="s">
        <v>6</v>
      </c>
      <c r="H16" s="22" t="s">
        <v>23</v>
      </c>
      <c r="I16" s="23" t="s">
        <v>23</v>
      </c>
      <c r="J16" s="22" t="s">
        <v>23</v>
      </c>
      <c r="K16" s="38" t="s">
        <v>518</v>
      </c>
      <c r="L16" s="22"/>
      <c r="M16" s="286" t="str">
        <f ca="1">IFERROR(OFFSET(M16,-1,,1,1)+0.1,OFFSET(M16,-1,-1,1,1)&amp;".1")</f>
        <v>1.1</v>
      </c>
      <c r="N16" s="23" t="s">
        <v>456</v>
      </c>
      <c r="O16" s="23"/>
      <c r="P16" s="23"/>
      <c r="Q16" s="144">
        <v>6</v>
      </c>
      <c r="R16" s="137"/>
      <c r="S16" s="169">
        <f>CEILING((IF(J16="Yes", 0, IF(H16="-",AA16,AA16+AA16*VLOOKUP(H16,BUFFERS_BY_TYPE,2,FALSE)))) +
   (IF(J16="Yes", 0, IF(H16="-",AA16,AA16+AA16*VLOOKUP(H16,BUFFERS_BY_TYPE,2,FALSE))))*VLOOKUP($S$5, SALES_CALL_SCALE_ARRAY, 2,FALSE),0.25)</f>
        <v>7.25</v>
      </c>
      <c r="T16" s="170"/>
      <c r="U16" s="24">
        <v>0.4</v>
      </c>
      <c r="V16" s="24">
        <v>0.5</v>
      </c>
      <c r="W16" s="24">
        <v>0.1</v>
      </c>
      <c r="X16" s="168">
        <v>1</v>
      </c>
      <c r="Y16" s="169">
        <f>CEILING((IF(P16=AS_DEV_EFFORT, DEV_EFFORT*Q16%,
                           IF(P16=AS_DURATION_EFFORT, (MANUAL_DURATION*5)*Q16%,
                                    (IF(Q16&lt;=1,X16,
                                          IF(SUM(U16:W16)=0,(Q16*X16),
                                               (((Q16*U16)*(X16+(X16*EXTRA_FOR_H)))+
                                               ((Q16*V16)*X16)+
                                               ((Q16*W16)*(X16-(X16*LESS_FOR_L)))
                                    )*IF(R16=0,1,R16))))))+Z16), 0.25)</f>
        <v>7.25</v>
      </c>
      <c r="Z16" s="25"/>
      <c r="AA16" s="169">
        <f>Y16+Y16*VLOOKUP(I16,EXTRAS_ARRAY,2,FALSE)</f>
        <v>7.25</v>
      </c>
      <c r="AB16" s="23" t="s">
        <v>581</v>
      </c>
      <c r="AC16" s="37"/>
      <c r="AD16" s="26" t="str">
        <f>IF(J16&lt;&gt;"Yes",
IF(S16&lt;=0,"Error: Effort value is not defined or is invalid.",
IF(AND(SUM(U16:W16)&gt;0,SUM(U16:W16)&lt;&gt;1),"Error: Complexity % distribution should sum to 100%.",
IF(AND(P16=AS_DEV_EFFORT,X16&lt;&gt;0),"Error: PDs should not be defined when defining as dev effort %.",
IF(AND(P16=AS_DURATION_EFFORT,X16&lt;&gt;0),"Error: PDs should not be defined when defining as duration effort %.","")))))</f>
        <v/>
      </c>
    </row>
    <row r="17" spans="1:30" ht="43.2" hidden="1" outlineLevel="2" x14ac:dyDescent="0.3">
      <c r="A17" s="93" t="s">
        <v>0</v>
      </c>
      <c r="B17" s="21"/>
      <c r="C17" s="85"/>
      <c r="D17" s="85"/>
      <c r="E17" s="85"/>
      <c r="F17" s="86"/>
      <c r="G17" s="22" t="s">
        <v>23</v>
      </c>
      <c r="H17" s="22" t="s">
        <v>23</v>
      </c>
      <c r="I17" s="23" t="s">
        <v>23</v>
      </c>
      <c r="J17" s="22" t="s">
        <v>23</v>
      </c>
      <c r="K17" s="38"/>
      <c r="L17" s="22"/>
      <c r="M17" s="286">
        <f ca="1">IFERROR(OFFSET(M17,-1,,1,1)+0.1,OFFSET(M17,-1,-1,1,1)&amp;".1")</f>
        <v>1.2000000000000002</v>
      </c>
      <c r="N17" s="23" t="s">
        <v>532</v>
      </c>
      <c r="O17" s="23"/>
      <c r="P17" s="23"/>
      <c r="Q17" s="144">
        <v>10</v>
      </c>
      <c r="R17" s="137"/>
      <c r="S17" s="169">
        <f>CEILING((IF(J17="Yes", 0, IF(H17="-",AA17,AA17+AA17*VLOOKUP(H17,BUFFERS_BY_TYPE,2,FALSE)))) +
   (IF(J17="Yes", 0, IF(H17="-",AA17,AA17+AA17*VLOOKUP(H17,BUFFERS_BY_TYPE,2,FALSE))))*VLOOKUP($S$5, SALES_CALL_SCALE_ARRAY, 2,FALSE),0.25)</f>
        <v>11.75</v>
      </c>
      <c r="T17" s="170"/>
      <c r="U17" s="24">
        <v>0.4</v>
      </c>
      <c r="V17" s="24">
        <v>0.5</v>
      </c>
      <c r="W17" s="24">
        <v>0.1</v>
      </c>
      <c r="X17" s="168">
        <v>1</v>
      </c>
      <c r="Y17" s="169">
        <f>CEILING((IF(P17=AS_DEV_EFFORT, DEV_EFFORT*Q17%,
                           IF(P17=AS_DURATION_EFFORT, (MANUAL_DURATION*5)*Q17%,
                                    (IF(Q17&lt;=1,X17,
                                          IF(SUM(U17:W17)=0,(Q17*X17),
                                               (((Q17*U17)*(X17+(X17*EXTRA_FOR_H)))+
                                               ((Q17*V17)*X17)+
                                               ((Q17*W17)*(X17-(X17*LESS_FOR_L)))
                                    )*IF(R17=0,1,R17))))))+Z17), 0.25)</f>
        <v>11.75</v>
      </c>
      <c r="Z17" s="25"/>
      <c r="AA17" s="169">
        <f>Y17+Y17*VLOOKUP(I17,EXTRAS_ARRAY,2,FALSE)</f>
        <v>11.75</v>
      </c>
      <c r="AB17" s="23"/>
      <c r="AC17" s="37"/>
      <c r="AD17" s="26" t="str">
        <f>IF(J17&lt;&gt;"Yes",
IF(S17&lt;=0,"Error: Effort value is not defined or is invalid.",
IF(AND(SUM(U17:W17)&gt;0,SUM(U17:W17)&lt;&gt;1),"Error: Complexity % distribution should sum to 100%.",
IF(AND(P17=AS_DEV_EFFORT,X17&lt;&gt;0),"Error: PDs should not be defined when defining as dev effort %.",
IF(AND(P17=AS_DURATION_EFFORT,X17&lt;&gt;0),"Error: PDs should not be defined when defining as duration effort %.","")))))</f>
        <v/>
      </c>
    </row>
    <row r="18" spans="1:30" ht="129.6" hidden="1" outlineLevel="2" x14ac:dyDescent="0.3">
      <c r="A18" s="93" t="s">
        <v>0</v>
      </c>
      <c r="B18" s="21"/>
      <c r="C18" s="85"/>
      <c r="D18" s="85"/>
      <c r="E18" s="85"/>
      <c r="F18" s="86"/>
      <c r="G18" s="22" t="s">
        <v>23</v>
      </c>
      <c r="H18" s="22" t="s">
        <v>23</v>
      </c>
      <c r="I18" s="23" t="s">
        <v>23</v>
      </c>
      <c r="J18" s="22" t="s">
        <v>23</v>
      </c>
      <c r="K18" s="38"/>
      <c r="L18" s="22"/>
      <c r="M18" s="286">
        <f ca="1">IFERROR(OFFSET(M18,-1,,1,1)+0.1,OFFSET(M18,-1,-1,1,1)&amp;".1")</f>
        <v>1.3000000000000003</v>
      </c>
      <c r="N18" s="23" t="s">
        <v>537</v>
      </c>
      <c r="O18" s="23"/>
      <c r="P18" s="23" t="s">
        <v>538</v>
      </c>
      <c r="Q18" s="144">
        <v>30</v>
      </c>
      <c r="R18" s="137">
        <v>2</v>
      </c>
      <c r="S18" s="169">
        <f>CEILING((IF(J18="Yes", 0, IF(H18="-",AA18,AA18+AA18*VLOOKUP(H18,BUFFERS_BY_TYPE,2,FALSE)))) +
   (IF(J18="Yes", 0, IF(H18="-",AA18,AA18+AA18*VLOOKUP(H18,BUFFERS_BY_TYPE,2,FALSE))))*VLOOKUP($S$5, SALES_CALL_SCALE_ARRAY, 2,FALSE),0.25)</f>
        <v>15</v>
      </c>
      <c r="T18" s="170"/>
      <c r="U18" s="24">
        <v>0</v>
      </c>
      <c r="V18" s="24">
        <v>1</v>
      </c>
      <c r="W18" s="24">
        <v>0</v>
      </c>
      <c r="X18" s="168">
        <v>0.25</v>
      </c>
      <c r="Y18" s="169">
        <f>CEILING((IF(P18=AS_DEV_EFFORT, DEV_EFFORT*Q18%,
                           IF(P18=AS_DURATION_EFFORT, (MANUAL_DURATION*5)*Q18%,
                                    (IF(Q18&lt;=1,X18,
                                          IF(SUM(U18:W18)=0,(Q18*X18),
                                               (((Q18*U18)*(X18+(X18*EXTRA_FOR_H)))+
                                               ((Q18*V18)*X18)+
                                               ((Q18*W18)*(X18-(X18*LESS_FOR_L)))
                                    )*IF(R18=0,1,R18))))))+Z18), 0.25)</f>
        <v>15</v>
      </c>
      <c r="Z18" s="25"/>
      <c r="AA18" s="169">
        <f>Y18+Y18*VLOOKUP(I18,EXTRAS_ARRAY,2,FALSE)</f>
        <v>15</v>
      </c>
      <c r="AB18" s="23" t="s">
        <v>582</v>
      </c>
      <c r="AC18" s="37"/>
      <c r="AD18" s="26" t="str">
        <f>IF(J18&lt;&gt;"Yes",
IF(S18&lt;=0,"Error: Effort value is not defined or is invalid.",
IF(AND(SUM(U18:W18)&gt;0,SUM(U18:W18)&lt;&gt;1),"Error: Complexity % distribution should sum to 100%.",
IF(AND(P18=AS_DEV_EFFORT,X18&lt;&gt;0),"Error: PDs should not be defined when defining as dev effort %.",
IF(AND(P18=AS_DURATION_EFFORT,X18&lt;&gt;0),"Error: PDs should not be defined when defining as duration effort %.","")))))</f>
        <v/>
      </c>
    </row>
    <row r="19" spans="1:30" s="11" customFormat="1" ht="7.5" hidden="1" customHeight="1" outlineLevel="2" x14ac:dyDescent="0.3">
      <c r="A19" s="93" t="s">
        <v>132</v>
      </c>
      <c r="B19" s="18"/>
      <c r="C19" s="78"/>
      <c r="D19" s="78"/>
      <c r="E19" s="78"/>
      <c r="F19" s="78"/>
      <c r="G19" s="10"/>
      <c r="H19" s="10"/>
      <c r="I19" s="10"/>
      <c r="J19" s="10"/>
      <c r="K19" s="10"/>
      <c r="L19" s="10"/>
      <c r="M19" s="287"/>
      <c r="N19" s="10"/>
      <c r="O19" s="10"/>
      <c r="P19" s="10"/>
      <c r="Q19" s="10"/>
      <c r="R19" s="10"/>
      <c r="S19" s="10"/>
      <c r="T19" s="18"/>
      <c r="U19" s="10"/>
      <c r="V19" s="10"/>
      <c r="W19" s="10"/>
      <c r="X19" s="18"/>
      <c r="Y19" s="10"/>
      <c r="Z19" s="10"/>
      <c r="AA19" s="10"/>
      <c r="AB19" s="60"/>
      <c r="AC19" s="60"/>
      <c r="AD19" s="12"/>
    </row>
    <row r="20" spans="1:30" s="17" customFormat="1" ht="15.6" hidden="1" outlineLevel="1" collapsed="1" x14ac:dyDescent="0.3">
      <c r="A20" s="93" t="s">
        <v>100</v>
      </c>
      <c r="B20" s="21"/>
      <c r="C20" s="84"/>
      <c r="D20" s="84"/>
      <c r="E20" s="84"/>
      <c r="F20" s="83"/>
      <c r="G20" s="32"/>
      <c r="H20" s="32"/>
      <c r="I20" s="32"/>
      <c r="J20" s="32"/>
      <c r="K20" s="32"/>
      <c r="L20" s="20">
        <f ca="1">LOOKUP(1000,INDIRECT("L1:"&amp;CELL("address",INDIRECT("R[-1]C",FALSE))))+1</f>
        <v>2</v>
      </c>
      <c r="M20" s="301" t="s">
        <v>457</v>
      </c>
      <c r="N20" s="301"/>
      <c r="O20" s="5"/>
      <c r="P20" s="33"/>
      <c r="Q20" s="33"/>
      <c r="R20" s="33"/>
      <c r="S20" s="33"/>
      <c r="T20" s="167">
        <f>IF($S$6="Exclude", SUMIFS(S21:S25, J21:J25, "&lt;&gt;Yes", G21:G25, "&lt;&gt;Yes"), SUMIFS(S21:S25, J21:J25, "&lt;&gt;Yes"))</f>
        <v>67</v>
      </c>
      <c r="U20" s="33"/>
      <c r="V20" s="33"/>
      <c r="W20" s="33"/>
      <c r="X20" s="34"/>
      <c r="Y20" s="35"/>
      <c r="Z20" s="35"/>
      <c r="AA20" s="35"/>
      <c r="AB20" s="240"/>
      <c r="AC20" s="36"/>
      <c r="AD20" s="26" t="str">
        <f>IF(M20="", "Error: Task name cannot be empty.", "")</f>
        <v/>
      </c>
    </row>
    <row r="21" spans="1:30" s="15" customFormat="1" ht="1.5" hidden="1" customHeight="1" outlineLevel="2" x14ac:dyDescent="0.3">
      <c r="A21" s="93" t="s">
        <v>101</v>
      </c>
      <c r="B21" s="21"/>
      <c r="C21" s="84"/>
      <c r="D21" s="84"/>
      <c r="E21" s="84"/>
      <c r="F21" s="83"/>
      <c r="G21" s="32"/>
      <c r="H21" s="32"/>
      <c r="I21" s="32"/>
      <c r="J21" s="32"/>
      <c r="K21" s="32"/>
      <c r="L21" s="175">
        <f ca="1">L20</f>
        <v>2</v>
      </c>
      <c r="M21" s="176" t="s">
        <v>105</v>
      </c>
      <c r="N21" s="173"/>
      <c r="O21" s="174"/>
      <c r="P21" s="33"/>
      <c r="Q21" s="33"/>
      <c r="R21" s="33"/>
      <c r="S21" s="33"/>
      <c r="T21" s="167"/>
      <c r="U21" s="33"/>
      <c r="V21" s="33"/>
      <c r="W21" s="33"/>
      <c r="X21" s="34"/>
      <c r="Y21" s="35"/>
      <c r="Z21" s="35"/>
      <c r="AA21" s="35"/>
      <c r="AB21" s="36"/>
      <c r="AC21" s="36"/>
      <c r="AD21" s="26"/>
    </row>
    <row r="22" spans="1:30" ht="43.2" hidden="1" outlineLevel="2" x14ac:dyDescent="0.3">
      <c r="A22" s="93" t="s">
        <v>0</v>
      </c>
      <c r="B22" s="21"/>
      <c r="C22" s="85"/>
      <c r="D22" s="85"/>
      <c r="E22" s="85"/>
      <c r="F22" s="86"/>
      <c r="G22" s="22" t="s">
        <v>23</v>
      </c>
      <c r="H22" s="22" t="s">
        <v>23</v>
      </c>
      <c r="I22" s="23" t="s">
        <v>23</v>
      </c>
      <c r="J22" s="22" t="s">
        <v>23</v>
      </c>
      <c r="K22" s="38"/>
      <c r="L22" s="22"/>
      <c r="M22" s="286" t="str">
        <f ca="1">IFERROR(OFFSET(M22,-1,,1,1)+0.1,OFFSET(M22,-1,-1,1,1)&amp;".1")</f>
        <v>2.1</v>
      </c>
      <c r="N22" s="23" t="s">
        <v>539</v>
      </c>
      <c r="O22" s="23"/>
      <c r="P22" s="23"/>
      <c r="Q22" s="144">
        <v>7</v>
      </c>
      <c r="R22" s="137">
        <v>6</v>
      </c>
      <c r="S22" s="169">
        <f>CEILING((IF(J22="Yes", 0, IF(H22="-",AA22,AA22+AA22*VLOOKUP(H22,BUFFERS_BY_TYPE,2,FALSE)))) +
   (IF(J22="Yes", 0, IF(H22="-",AA22,AA22+AA22*VLOOKUP(H22,BUFFERS_BY_TYPE,2,FALSE))))*VLOOKUP($S$5, SALES_CALL_SCALE_ARRAY, 2,FALSE),0.25)</f>
        <v>31.5</v>
      </c>
      <c r="T22" s="170"/>
      <c r="U22" s="24">
        <v>0</v>
      </c>
      <c r="V22" s="24">
        <v>0</v>
      </c>
      <c r="W22" s="24">
        <v>1</v>
      </c>
      <c r="X22" s="168">
        <v>1</v>
      </c>
      <c r="Y22" s="169">
        <f>CEILING((IF(P22=AS_DEV_EFFORT, DEV_EFFORT*Q22%,
                           IF(P22=AS_DURATION_EFFORT, (MANUAL_DURATION*5)*Q22%,
                                    (IF(Q22&lt;=1,X22,
                                          IF(SUM(U22:W22)=0,(Q22*X22),
                                               (((Q22*U22)*(X22+(X22*EXTRA_FOR_H)))+
                                               ((Q22*V22)*X22)+
                                               ((Q22*W22)*(X22-(X22*LESS_FOR_L)))
                                    )*IF(R22=0,1,R22))))))+Z22), 0.25)</f>
        <v>31.5</v>
      </c>
      <c r="Z22" s="25"/>
      <c r="AA22" s="169">
        <f>Y22+Y22*VLOOKUP(I22,EXTRAS_ARRAY,2,FALSE)</f>
        <v>31.5</v>
      </c>
      <c r="AB22" s="23"/>
      <c r="AC22" s="37"/>
      <c r="AD22" s="26" t="str">
        <f>IF(J22&lt;&gt;"Yes",
IF(S22&lt;=0,"Error: Effort value is not defined or is invalid.",
IF(AND(SUM(U22:W22)&gt;0,SUM(U22:W22)&lt;&gt;1),"Error: Complexity % distribution should sum to 100%.",
IF(AND(P22=AS_DEV_EFFORT,X22&lt;&gt;0),"Error: PDs should not be defined when defining as dev effort %.",
IF(AND(P22=AS_DURATION_EFFORT,X22&lt;&gt;0),"Error: PDs should not be defined when defining as duration effort %.","")))))</f>
        <v/>
      </c>
    </row>
    <row r="23" spans="1:30" ht="43.2" hidden="1" outlineLevel="2" x14ac:dyDescent="0.3">
      <c r="A23" s="93" t="s">
        <v>0</v>
      </c>
      <c r="B23" s="21"/>
      <c r="C23" s="85"/>
      <c r="D23" s="85"/>
      <c r="E23" s="85"/>
      <c r="F23" s="86"/>
      <c r="G23" s="22" t="s">
        <v>23</v>
      </c>
      <c r="H23" s="22" t="s">
        <v>23</v>
      </c>
      <c r="I23" s="23" t="s">
        <v>23</v>
      </c>
      <c r="J23" s="22" t="s">
        <v>23</v>
      </c>
      <c r="K23" s="38"/>
      <c r="L23" s="22"/>
      <c r="M23" s="286">
        <f ca="1">IFERROR(OFFSET(M23,-1,,1,1)+0.1,OFFSET(M23,-1,-1,1,1)&amp;".1")</f>
        <v>2.2000000000000002</v>
      </c>
      <c r="N23" s="23" t="s">
        <v>458</v>
      </c>
      <c r="O23" s="23" t="s">
        <v>520</v>
      </c>
      <c r="P23" s="23"/>
      <c r="Q23" s="144">
        <v>30</v>
      </c>
      <c r="R23" s="137">
        <v>1</v>
      </c>
      <c r="S23" s="169">
        <f>CEILING((IF(J23="Yes", 0, IF(H23="-",AA23,AA23+AA23*VLOOKUP(H23,BUFFERS_BY_TYPE,2,FALSE)))) +
   (IF(J23="Yes", 0, IF(H23="-",AA23,AA23+AA23*VLOOKUP(H23,BUFFERS_BY_TYPE,2,FALSE))))*VLOOKUP($S$5, SALES_CALL_SCALE_ARRAY, 2,FALSE),0.25)</f>
        <v>17.75</v>
      </c>
      <c r="T23" s="170"/>
      <c r="U23" s="24">
        <v>0.4</v>
      </c>
      <c r="V23" s="24">
        <v>0.5</v>
      </c>
      <c r="W23" s="24">
        <v>0.1</v>
      </c>
      <c r="X23" s="168">
        <v>0.5</v>
      </c>
      <c r="Y23" s="169">
        <f>CEILING((IF(P23=AS_DEV_EFFORT, DEV_EFFORT*Q23%,
                           IF(P23=AS_DURATION_EFFORT, (MANUAL_DURATION*5)*Q23%,
                                    (IF(Q23&lt;=1,X23,
                                          IF(SUM(U23:W23)=0,(Q23*X23),
                                               (((Q23*U23)*(X23+(X23*EXTRA_FOR_H)))+
                                               ((Q23*V23)*X23)+
                                               ((Q23*W23)*(X23-(X23*LESS_FOR_L)))
                                    )*IF(R23=0,1,R23))))))+Z23), 0.25)</f>
        <v>17.75</v>
      </c>
      <c r="Z23" s="25"/>
      <c r="AA23" s="169">
        <f>Y23+Y23*VLOOKUP(I23,EXTRAS_ARRAY,2,FALSE)</f>
        <v>17.75</v>
      </c>
      <c r="AB23" s="23"/>
      <c r="AC23" s="37"/>
      <c r="AD23" s="26" t="str">
        <f>IF(J23&lt;&gt;"Yes",
IF(S23&lt;=0,"Error: Effort value is not defined or is invalid.",
IF(AND(SUM(U23:W23)&gt;0,SUM(U23:W23)&lt;&gt;1),"Error: Complexity % distribution should sum to 100%.",
IF(AND(P23=AS_DEV_EFFORT,X23&lt;&gt;0),"Error: PDs should not be defined when defining as dev effort %.",
IF(AND(P23=AS_DURATION_EFFORT,X23&lt;&gt;0),"Error: PDs should not be defined when defining as duration effort %.","")))))</f>
        <v/>
      </c>
    </row>
    <row r="24" spans="1:30" ht="43.2" hidden="1" outlineLevel="2" x14ac:dyDescent="0.3">
      <c r="A24" s="93" t="s">
        <v>0</v>
      </c>
      <c r="B24" s="21"/>
      <c r="C24" s="85"/>
      <c r="D24" s="85"/>
      <c r="E24" s="85"/>
      <c r="F24" s="86"/>
      <c r="G24" s="22" t="s">
        <v>23</v>
      </c>
      <c r="H24" s="22" t="s">
        <v>23</v>
      </c>
      <c r="I24" s="23" t="s">
        <v>23</v>
      </c>
      <c r="J24" s="22" t="s">
        <v>23</v>
      </c>
      <c r="K24" s="38" t="s">
        <v>519</v>
      </c>
      <c r="L24" s="22"/>
      <c r="M24" s="286">
        <f ca="1">IFERROR(OFFSET(M24,-1,,1,1)+0.1,OFFSET(M24,-1,-1,1,1)&amp;".1")</f>
        <v>2.3000000000000003</v>
      </c>
      <c r="N24" s="23" t="s">
        <v>459</v>
      </c>
      <c r="O24" s="23"/>
      <c r="P24" s="23"/>
      <c r="Q24" s="144">
        <v>30</v>
      </c>
      <c r="R24" s="137">
        <v>1</v>
      </c>
      <c r="S24" s="169">
        <f>CEILING((IF(J24="Yes", 0, IF(H24="-",AA24,AA24+AA24*VLOOKUP(H24,BUFFERS_BY_TYPE,2,FALSE)))) +
   (IF(J24="Yes", 0, IF(H24="-",AA24,AA24+AA24*VLOOKUP(H24,BUFFERS_BY_TYPE,2,FALSE))))*VLOOKUP($S$5, SALES_CALL_SCALE_ARRAY, 2,FALSE),0.25)</f>
        <v>17.75</v>
      </c>
      <c r="T24" s="170"/>
      <c r="U24" s="24">
        <v>0.4</v>
      </c>
      <c r="V24" s="24">
        <v>0.5</v>
      </c>
      <c r="W24" s="24">
        <v>0.1</v>
      </c>
      <c r="X24" s="168">
        <v>0.5</v>
      </c>
      <c r="Y24" s="169">
        <f>CEILING((IF(P24=AS_DEV_EFFORT, DEV_EFFORT*Q24%,
                           IF(P24=AS_DURATION_EFFORT, (MANUAL_DURATION*5)*Q24%,
                                    (IF(Q24&lt;=1,X24,
                                          IF(SUM(U24:W24)=0,(Q24*X24),
                                               (((Q24*U24)*(X24+(X24*EXTRA_FOR_H)))+
                                               ((Q24*V24)*X24)+
                                               ((Q24*W24)*(X24-(X24*LESS_FOR_L)))
                                    )*IF(R24=0,1,R24))))))+Z24), 0.25)</f>
        <v>17.75</v>
      </c>
      <c r="Z24" s="25"/>
      <c r="AA24" s="169">
        <f>Y24+Y24*VLOOKUP(I24,EXTRAS_ARRAY,2,FALSE)</f>
        <v>17.75</v>
      </c>
      <c r="AB24" s="23"/>
      <c r="AC24" s="37"/>
      <c r="AD24" s="26" t="str">
        <f>IF(J24&lt;&gt;"Yes",
IF(S24&lt;=0,"Error: Effort value is not defined or is invalid.",
IF(AND(SUM(U24:W24)&gt;0,SUM(U24:W24)&lt;&gt;1),"Error: Complexity % distribution should sum to 100%.",
IF(AND(P24=AS_DEV_EFFORT,X24&lt;&gt;0),"Error: PDs should not be defined when defining as dev effort %.",
IF(AND(P24=AS_DURATION_EFFORT,X24&lt;&gt;0),"Error: PDs should not be defined when defining as duration effort %.","")))))</f>
        <v/>
      </c>
    </row>
    <row r="25" spans="1:30" s="11" customFormat="1" ht="7.5" hidden="1" customHeight="1" outlineLevel="2" x14ac:dyDescent="0.3">
      <c r="A25" s="93" t="s">
        <v>132</v>
      </c>
      <c r="B25" s="18"/>
      <c r="C25" s="78"/>
      <c r="D25" s="78"/>
      <c r="E25" s="78"/>
      <c r="F25" s="78"/>
      <c r="G25" s="10"/>
      <c r="H25" s="10"/>
      <c r="I25" s="10"/>
      <c r="J25" s="10"/>
      <c r="K25" s="10"/>
      <c r="L25" s="10"/>
      <c r="M25" s="287"/>
      <c r="N25" s="10"/>
      <c r="O25" s="10"/>
      <c r="P25" s="10"/>
      <c r="Q25" s="10"/>
      <c r="R25" s="10"/>
      <c r="S25" s="10"/>
      <c r="T25" s="18"/>
      <c r="U25" s="10"/>
      <c r="V25" s="10"/>
      <c r="W25" s="10"/>
      <c r="X25" s="18"/>
      <c r="Y25" s="10"/>
      <c r="Z25" s="10"/>
      <c r="AA25" s="10"/>
      <c r="AB25" s="60"/>
      <c r="AC25" s="60"/>
      <c r="AD25" s="12"/>
    </row>
    <row r="26" spans="1:30" s="17" customFormat="1" ht="15.6" hidden="1" outlineLevel="1" collapsed="1" x14ac:dyDescent="0.3">
      <c r="A26" s="93" t="s">
        <v>100</v>
      </c>
      <c r="B26" s="21"/>
      <c r="C26" s="84"/>
      <c r="D26" s="84"/>
      <c r="E26" s="84"/>
      <c r="F26" s="83"/>
      <c r="G26" s="32"/>
      <c r="H26" s="32"/>
      <c r="I26" s="32"/>
      <c r="J26" s="32"/>
      <c r="K26" s="32"/>
      <c r="L26" s="20">
        <f ca="1">LOOKUP(1000,INDIRECT("L1:"&amp;CELL("address",INDIRECT("R[-1]C",FALSE))))+1</f>
        <v>3</v>
      </c>
      <c r="M26" s="301" t="s">
        <v>531</v>
      </c>
      <c r="N26" s="301"/>
      <c r="O26" s="5"/>
      <c r="P26" s="33"/>
      <c r="Q26" s="33"/>
      <c r="R26" s="33"/>
      <c r="S26" s="33"/>
      <c r="T26" s="167">
        <f>IF($S$6="Exclude", SUMIFS(S27:S32, J27:J32, "&lt;&gt;Yes", G27:G32, "&lt;&gt;Yes"), SUMIFS(S27:S32, J27:J32, "&lt;&gt;Yes"))</f>
        <v>12</v>
      </c>
      <c r="U26" s="33"/>
      <c r="V26" s="33"/>
      <c r="W26" s="33"/>
      <c r="X26" s="34"/>
      <c r="Y26" s="35"/>
      <c r="Z26" s="35"/>
      <c r="AA26" s="35"/>
      <c r="AB26" s="240"/>
      <c r="AC26" s="36"/>
      <c r="AD26" s="26" t="str">
        <f>IF(M26="", "Error: Task name cannot be empty.", "")</f>
        <v/>
      </c>
    </row>
    <row r="27" spans="1:30" s="15" customFormat="1" ht="1.5" hidden="1" customHeight="1" outlineLevel="2" x14ac:dyDescent="0.3">
      <c r="A27" s="93" t="s">
        <v>101</v>
      </c>
      <c r="B27" s="21"/>
      <c r="C27" s="84"/>
      <c r="D27" s="84"/>
      <c r="E27" s="84"/>
      <c r="F27" s="83"/>
      <c r="G27" s="32"/>
      <c r="H27" s="32"/>
      <c r="I27" s="32"/>
      <c r="J27" s="32"/>
      <c r="K27" s="32"/>
      <c r="L27" s="175">
        <f ca="1">L26</f>
        <v>3</v>
      </c>
      <c r="M27" s="176" t="s">
        <v>105</v>
      </c>
      <c r="N27" s="173"/>
      <c r="O27" s="174"/>
      <c r="P27" s="33"/>
      <c r="Q27" s="33"/>
      <c r="R27" s="33"/>
      <c r="S27" s="33"/>
      <c r="T27" s="167"/>
      <c r="U27" s="33"/>
      <c r="V27" s="33"/>
      <c r="W27" s="33"/>
      <c r="X27" s="34"/>
      <c r="Y27" s="35"/>
      <c r="Z27" s="35"/>
      <c r="AA27" s="35"/>
      <c r="AB27" s="36"/>
      <c r="AC27" s="36"/>
      <c r="AD27" s="26"/>
    </row>
    <row r="28" spans="1:30" ht="43.2" hidden="1" outlineLevel="2" x14ac:dyDescent="0.3">
      <c r="A28" s="93" t="s">
        <v>0</v>
      </c>
      <c r="B28" s="21"/>
      <c r="C28" s="85"/>
      <c r="D28" s="85"/>
      <c r="E28" s="85"/>
      <c r="F28" s="86"/>
      <c r="G28" s="22" t="s">
        <v>23</v>
      </c>
      <c r="H28" s="22" t="s">
        <v>23</v>
      </c>
      <c r="I28" s="23" t="s">
        <v>23</v>
      </c>
      <c r="J28" s="22" t="s">
        <v>23</v>
      </c>
      <c r="K28" s="38"/>
      <c r="L28" s="22"/>
      <c r="M28" s="286" t="str">
        <f ca="1">IFERROR(OFFSET(M28,-1,,1,1)+0.1,OFFSET(M28,-1,-1,1,1)&amp;".1")</f>
        <v>3.1</v>
      </c>
      <c r="N28" s="23" t="s">
        <v>540</v>
      </c>
      <c r="O28" s="23"/>
      <c r="P28" s="23"/>
      <c r="Q28" s="144">
        <v>2</v>
      </c>
      <c r="R28" s="137"/>
      <c r="S28" s="169">
        <f>CEILING((IF(J28="Yes", 0, IF(H28="-",AA28,AA28+AA28*VLOOKUP(H28,BUFFERS_BY_TYPE,2,FALSE)))) +
   (IF(J28="Yes", 0, IF(H28="-",AA28,AA28+AA28*VLOOKUP(H28,BUFFERS_BY_TYPE,2,FALSE))))*VLOOKUP($S$5, SALES_CALL_SCALE_ARRAY, 2,FALSE),0.25)</f>
        <v>2</v>
      </c>
      <c r="T28" s="170"/>
      <c r="U28" s="24">
        <v>0</v>
      </c>
      <c r="V28" s="24">
        <v>1</v>
      </c>
      <c r="W28" s="24">
        <v>0</v>
      </c>
      <c r="X28" s="168">
        <v>1</v>
      </c>
      <c r="Y28" s="169">
        <f>CEILING((IF(P28=AS_DEV_EFFORT, DEV_EFFORT*Q28%,
                           IF(P28=AS_DURATION_EFFORT, (MANUAL_DURATION*5)*Q28%,
                                    (IF(Q28&lt;=1,X28,
                                          IF(SUM(U28:W28)=0,(Q28*X28),
                                               (((Q28*U28)*(X28+(X28*EXTRA_FOR_H)))+
                                               ((Q28*V28)*X28)+
                                               ((Q28*W28)*(X28-(X28*LESS_FOR_L)))
                                    )*IF(R28=0,1,R28))))))+Z28), 0.25)</f>
        <v>2</v>
      </c>
      <c r="Z28" s="25"/>
      <c r="AA28" s="169">
        <f>Y28+Y28*VLOOKUP(I28,EXTRAS_ARRAY,2,FALSE)</f>
        <v>2</v>
      </c>
      <c r="AB28" s="23"/>
      <c r="AC28" s="37"/>
      <c r="AD28" s="26" t="str">
        <f>IF(J28&lt;&gt;"Yes",
IF(S28&lt;=0,"Error: Effort value is not defined or is invalid.",
IF(AND(SUM(U28:W28)&gt;0,SUM(U28:W28)&lt;&gt;1),"Error: Complexity % distribution should sum to 100%.",
IF(AND(P28=AS_DEV_EFFORT,X28&lt;&gt;0),"Error: PDs should not be defined when defining as dev effort %.",
IF(AND(P28=AS_DURATION_EFFORT,X28&lt;&gt;0),"Error: PDs should not be defined when defining as duration effort %.","")))))</f>
        <v/>
      </c>
    </row>
    <row r="29" spans="1:30" ht="15.6" hidden="1" outlineLevel="2" x14ac:dyDescent="0.3">
      <c r="A29" s="93" t="s">
        <v>0</v>
      </c>
      <c r="B29" s="21"/>
      <c r="C29" s="85"/>
      <c r="D29" s="85"/>
      <c r="E29" s="85"/>
      <c r="F29" s="86"/>
      <c r="G29" s="22" t="s">
        <v>23</v>
      </c>
      <c r="H29" s="22" t="s">
        <v>23</v>
      </c>
      <c r="I29" s="23" t="s">
        <v>23</v>
      </c>
      <c r="J29" s="22" t="s">
        <v>23</v>
      </c>
      <c r="K29" s="38"/>
      <c r="L29" s="22"/>
      <c r="M29" s="286">
        <f ca="1">IFERROR(OFFSET(M29,-1,,1,1)+0.1,OFFSET(M29,-1,-1,1,1)&amp;".1")</f>
        <v>3.2</v>
      </c>
      <c r="N29" s="23" t="s">
        <v>541</v>
      </c>
      <c r="O29" s="23" t="s">
        <v>544</v>
      </c>
      <c r="P29" s="23"/>
      <c r="Q29" s="144">
        <v>10</v>
      </c>
      <c r="R29" s="137"/>
      <c r="S29" s="169">
        <f>CEILING((IF(J29="Yes", 0, IF(H29="-",AA29,AA29+AA29*VLOOKUP(H29,BUFFERS_BY_TYPE,2,FALSE)))) +
   (IF(J29="Yes", 0, IF(H29="-",AA29,AA29+AA29*VLOOKUP(H29,BUFFERS_BY_TYPE,2,FALSE))))*VLOOKUP($S$5, SALES_CALL_SCALE_ARRAY, 2,FALSE),0.25)</f>
        <v>2.5</v>
      </c>
      <c r="T29" s="170"/>
      <c r="U29" s="24">
        <v>0</v>
      </c>
      <c r="V29" s="24">
        <v>1</v>
      </c>
      <c r="W29" s="24">
        <v>0</v>
      </c>
      <c r="X29" s="168">
        <v>0.25</v>
      </c>
      <c r="Y29" s="169">
        <f>CEILING((IF(P29=AS_DEV_EFFORT, DEV_EFFORT*Q29%,
                           IF(P29=AS_DURATION_EFFORT, (MANUAL_DURATION*5)*Q29%,
                                    (IF(Q29&lt;=1,X29,
                                          IF(SUM(U29:W29)=0,(Q29*X29),
                                               (((Q29*U29)*(X29+(X29*EXTRA_FOR_H)))+
                                               ((Q29*V29)*X29)+
                                               ((Q29*W29)*(X29-(X29*LESS_FOR_L)))
                                    )*IF(R29=0,1,R29))))))+Z29), 0.25)</f>
        <v>2.5</v>
      </c>
      <c r="Z29" s="25"/>
      <c r="AA29" s="169">
        <f>Y29+Y29*VLOOKUP(I29,EXTRAS_ARRAY,2,FALSE)</f>
        <v>2.5</v>
      </c>
      <c r="AB29" s="23" t="s">
        <v>583</v>
      </c>
      <c r="AC29" s="37"/>
      <c r="AD29" s="26" t="str">
        <f>IF(J29&lt;&gt;"Yes",
IF(S29&lt;=0,"Error: Effort value is not defined or is invalid.",
IF(AND(SUM(U29:W29)&gt;0,SUM(U29:W29)&lt;&gt;1),"Error: Complexity % distribution should sum to 100%.",
IF(AND(P29=AS_DEV_EFFORT,X29&lt;&gt;0),"Error: PDs should not be defined when defining as dev effort %.",
IF(AND(P29=AS_DURATION_EFFORT,X29&lt;&gt;0),"Error: PDs should not be defined when defining as duration effort %.","")))))</f>
        <v/>
      </c>
    </row>
    <row r="30" spans="1:30" ht="43.2" hidden="1" outlineLevel="2" x14ac:dyDescent="0.3">
      <c r="A30" s="93" t="s">
        <v>0</v>
      </c>
      <c r="B30" s="21"/>
      <c r="C30" s="85"/>
      <c r="D30" s="85"/>
      <c r="E30" s="85"/>
      <c r="F30" s="86"/>
      <c r="G30" s="22" t="s">
        <v>23</v>
      </c>
      <c r="H30" s="22" t="s">
        <v>23</v>
      </c>
      <c r="I30" s="23" t="s">
        <v>23</v>
      </c>
      <c r="J30" s="22" t="s">
        <v>23</v>
      </c>
      <c r="K30" s="38"/>
      <c r="L30" s="22"/>
      <c r="M30" s="286">
        <f ca="1">IFERROR(OFFSET(M30,-1,,1,1)+0.1,OFFSET(M30,-1,-1,1,1)&amp;".1")</f>
        <v>3.3000000000000003</v>
      </c>
      <c r="N30" s="23" t="s">
        <v>542</v>
      </c>
      <c r="O30" s="23" t="s">
        <v>544</v>
      </c>
      <c r="P30" s="23"/>
      <c r="Q30" s="144">
        <v>10</v>
      </c>
      <c r="R30" s="137"/>
      <c r="S30" s="169">
        <f>CEILING((IF(J30="Yes", 0, IF(H30="-",AA30,AA30+AA30*VLOOKUP(H30,BUFFERS_BY_TYPE,2,FALSE)))) +
   (IF(J30="Yes", 0, IF(H30="-",AA30,AA30+AA30*VLOOKUP(H30,BUFFERS_BY_TYPE,2,FALSE))))*VLOOKUP($S$5, SALES_CALL_SCALE_ARRAY, 2,FALSE),0.25)</f>
        <v>2.5</v>
      </c>
      <c r="T30" s="170"/>
      <c r="U30" s="24">
        <v>0</v>
      </c>
      <c r="V30" s="24">
        <v>1</v>
      </c>
      <c r="W30" s="24">
        <v>0</v>
      </c>
      <c r="X30" s="168">
        <v>0.25</v>
      </c>
      <c r="Y30" s="169">
        <f>CEILING((IF(P30=AS_DEV_EFFORT, DEV_EFFORT*Q30%,
                           IF(P30=AS_DURATION_EFFORT, (MANUAL_DURATION*5)*Q30%,
                                    (IF(Q30&lt;=1,X30,
                                          IF(SUM(U30:W30)=0,(Q30*X30),
                                               (((Q30*U30)*(X30+(X30*EXTRA_FOR_H)))+
                                               ((Q30*V30)*X30)+
                                               ((Q30*W30)*(X30-(X30*LESS_FOR_L)))
                                    )*IF(R30=0,1,R30))))))+Z30), 0.25)</f>
        <v>2.5</v>
      </c>
      <c r="Z30" s="25"/>
      <c r="AA30" s="169">
        <f>Y30+Y30*VLOOKUP(I30,EXTRAS_ARRAY,2,FALSE)</f>
        <v>2.5</v>
      </c>
      <c r="AB30" s="23"/>
      <c r="AC30" s="37"/>
      <c r="AD30" s="26" t="str">
        <f>IF(J30&lt;&gt;"Yes",
IF(S30&lt;=0,"Error: Effort value is not defined or is invalid.",
IF(AND(SUM(U30:W30)&gt;0,SUM(U30:W30)&lt;&gt;1),"Error: Complexity % distribution should sum to 100%.",
IF(AND(P30=AS_DEV_EFFORT,X30&lt;&gt;0),"Error: PDs should not be defined when defining as dev effort %.",
IF(AND(P30=AS_DURATION_EFFORT,X30&lt;&gt;0),"Error: PDs should not be defined when defining as duration effort %.","")))))</f>
        <v/>
      </c>
    </row>
    <row r="31" spans="1:30" ht="43.2" hidden="1" outlineLevel="2" x14ac:dyDescent="0.3">
      <c r="A31" s="93" t="s">
        <v>0</v>
      </c>
      <c r="B31" s="21"/>
      <c r="C31" s="85"/>
      <c r="D31" s="85"/>
      <c r="E31" s="85"/>
      <c r="F31" s="86"/>
      <c r="G31" s="22" t="s">
        <v>23</v>
      </c>
      <c r="H31" s="22" t="s">
        <v>23</v>
      </c>
      <c r="I31" s="23" t="s">
        <v>23</v>
      </c>
      <c r="J31" s="22" t="s">
        <v>23</v>
      </c>
      <c r="K31" s="38"/>
      <c r="L31" s="22"/>
      <c r="M31" s="286">
        <f ca="1">IFERROR(OFFSET(M31,-1,,1,1)+0.1,OFFSET(M31,-1,-1,1,1)&amp;".1")</f>
        <v>3.4000000000000004</v>
      </c>
      <c r="N31" s="23" t="s">
        <v>543</v>
      </c>
      <c r="O31" s="23"/>
      <c r="P31" s="23"/>
      <c r="Q31" s="144">
        <v>5</v>
      </c>
      <c r="R31" s="137"/>
      <c r="S31" s="169">
        <f>CEILING((IF(J31="Yes", 0, IF(H31="-",AA31,AA31+AA31*VLOOKUP(H31,BUFFERS_BY_TYPE,2,FALSE)))) +
   (IF(J31="Yes", 0, IF(H31="-",AA31,AA31+AA31*VLOOKUP(H31,BUFFERS_BY_TYPE,2,FALSE))))*VLOOKUP($S$5, SALES_CALL_SCALE_ARRAY, 2,FALSE),0.25)</f>
        <v>5</v>
      </c>
      <c r="T31" s="170"/>
      <c r="U31" s="24">
        <v>0</v>
      </c>
      <c r="V31" s="24">
        <v>1</v>
      </c>
      <c r="W31" s="24">
        <v>0</v>
      </c>
      <c r="X31" s="168">
        <v>1</v>
      </c>
      <c r="Y31" s="169">
        <f>CEILING((IF(P31=AS_DEV_EFFORT, DEV_EFFORT*Q31%,
                           IF(P31=AS_DURATION_EFFORT, (MANUAL_DURATION*5)*Q31%,
                                    (IF(Q31&lt;=1,X31,
                                          IF(SUM(U31:W31)=0,(Q31*X31),
                                               (((Q31*U31)*(X31+(X31*EXTRA_FOR_H)))+
                                               ((Q31*V31)*X31)+
                                               ((Q31*W31)*(X31-(X31*LESS_FOR_L)))
                                    )*IF(R31=0,1,R31))))))+Z31), 0.25)</f>
        <v>5</v>
      </c>
      <c r="Z31" s="25"/>
      <c r="AA31" s="169">
        <f>Y31+Y31*VLOOKUP(I31,EXTRAS_ARRAY,2,FALSE)</f>
        <v>5</v>
      </c>
      <c r="AB31" s="23"/>
      <c r="AC31" s="37"/>
      <c r="AD31" s="26" t="str">
        <f>IF(J31&lt;&gt;"Yes",
IF(S31&lt;=0,"Error: Effort value is not defined or is invalid.",
IF(AND(SUM(U31:W31)&gt;0,SUM(U31:W31)&lt;&gt;1),"Error: Complexity % distribution should sum to 100%.",
IF(AND(P31=AS_DEV_EFFORT,X31&lt;&gt;0),"Error: PDs should not be defined when defining as dev effort %.",
IF(AND(P31=AS_DURATION_EFFORT,X31&lt;&gt;0),"Error: PDs should not be defined when defining as duration effort %.","")))))</f>
        <v/>
      </c>
    </row>
    <row r="32" spans="1:30" s="11" customFormat="1" ht="7.5" hidden="1" customHeight="1" outlineLevel="2" x14ac:dyDescent="0.3">
      <c r="A32" s="93" t="s">
        <v>132</v>
      </c>
      <c r="B32" s="18"/>
      <c r="C32" s="78"/>
      <c r="D32" s="78"/>
      <c r="E32" s="78"/>
      <c r="F32" s="78"/>
      <c r="G32" s="10"/>
      <c r="H32" s="10"/>
      <c r="I32" s="10"/>
      <c r="J32" s="10"/>
      <c r="K32" s="10"/>
      <c r="L32" s="10"/>
      <c r="M32" s="287"/>
      <c r="N32" s="10"/>
      <c r="O32" s="10"/>
      <c r="P32" s="10"/>
      <c r="Q32" s="10"/>
      <c r="R32" s="10"/>
      <c r="S32" s="10"/>
      <c r="T32" s="18"/>
      <c r="U32" s="10"/>
      <c r="V32" s="10"/>
      <c r="W32" s="10"/>
      <c r="X32" s="18"/>
      <c r="Y32" s="10"/>
      <c r="Z32" s="10"/>
      <c r="AA32" s="10"/>
      <c r="AB32" s="60"/>
      <c r="AC32" s="60"/>
      <c r="AD32" s="12"/>
    </row>
    <row r="33" spans="1:30" s="17" customFormat="1" ht="15.6" hidden="1" outlineLevel="1" collapsed="1" x14ac:dyDescent="0.3">
      <c r="A33" s="93" t="s">
        <v>100</v>
      </c>
      <c r="B33" s="21"/>
      <c r="C33" s="84"/>
      <c r="D33" s="84"/>
      <c r="E33" s="84"/>
      <c r="F33" s="83"/>
      <c r="G33" s="32"/>
      <c r="H33" s="32"/>
      <c r="I33" s="32"/>
      <c r="J33" s="32"/>
      <c r="K33" s="32"/>
      <c r="L33" s="20">
        <f ca="1">LOOKUP(1000,INDIRECT("L1:"&amp;CELL("address",INDIRECT("R[-1]C",FALSE))))+1</f>
        <v>4</v>
      </c>
      <c r="M33" s="301" t="s">
        <v>533</v>
      </c>
      <c r="N33" s="301"/>
      <c r="O33" s="5"/>
      <c r="P33" s="33"/>
      <c r="Q33" s="33"/>
      <c r="R33" s="33"/>
      <c r="S33" s="33"/>
      <c r="T33" s="167">
        <f>IF($S$6="Exclude", SUMIFS(S34:S40, J34:J40, "&lt;&gt;Yes", G34:G40, "&lt;&gt;Yes"), SUMIFS(S34:S40, J34:J40, "&lt;&gt;Yes"))</f>
        <v>22.5</v>
      </c>
      <c r="U33" s="33"/>
      <c r="V33" s="33"/>
      <c r="W33" s="33"/>
      <c r="X33" s="34"/>
      <c r="Y33" s="35"/>
      <c r="Z33" s="35"/>
      <c r="AA33" s="35"/>
      <c r="AB33" s="240"/>
      <c r="AC33" s="36"/>
      <c r="AD33" s="26" t="str">
        <f>IF(M33="", "Error: Task name cannot be empty.", "")</f>
        <v/>
      </c>
    </row>
    <row r="34" spans="1:30" s="15" customFormat="1" ht="1.5" hidden="1" customHeight="1" outlineLevel="2" x14ac:dyDescent="0.3">
      <c r="A34" s="93" t="s">
        <v>101</v>
      </c>
      <c r="B34" s="21"/>
      <c r="C34" s="84"/>
      <c r="D34" s="84"/>
      <c r="E34" s="84"/>
      <c r="F34" s="83"/>
      <c r="G34" s="32"/>
      <c r="H34" s="32"/>
      <c r="I34" s="32"/>
      <c r="J34" s="32"/>
      <c r="K34" s="32"/>
      <c r="L34" s="175">
        <f ca="1">L33</f>
        <v>4</v>
      </c>
      <c r="M34" s="176" t="s">
        <v>105</v>
      </c>
      <c r="N34" s="173"/>
      <c r="O34" s="174"/>
      <c r="P34" s="33"/>
      <c r="Q34" s="33"/>
      <c r="R34" s="33"/>
      <c r="S34" s="33"/>
      <c r="T34" s="167"/>
      <c r="U34" s="33"/>
      <c r="V34" s="33"/>
      <c r="W34" s="33"/>
      <c r="X34" s="34"/>
      <c r="Y34" s="35"/>
      <c r="Z34" s="35"/>
      <c r="AA34" s="35"/>
      <c r="AB34" s="36"/>
      <c r="AC34" s="36"/>
      <c r="AD34" s="26"/>
    </row>
    <row r="35" spans="1:30" ht="43.2" hidden="1" outlineLevel="2" x14ac:dyDescent="0.3">
      <c r="A35" s="93" t="s">
        <v>0</v>
      </c>
      <c r="B35" s="21"/>
      <c r="C35" s="85"/>
      <c r="D35" s="85"/>
      <c r="E35" s="85"/>
      <c r="F35" s="86"/>
      <c r="G35" s="22" t="s">
        <v>23</v>
      </c>
      <c r="H35" s="22" t="s">
        <v>23</v>
      </c>
      <c r="I35" s="23" t="s">
        <v>23</v>
      </c>
      <c r="J35" s="22" t="s">
        <v>23</v>
      </c>
      <c r="K35" s="38"/>
      <c r="L35" s="22"/>
      <c r="M35" s="286" t="str">
        <f ca="1">IFERROR(OFFSET(M35,-1,,1,1)+0.1,OFFSET(M35,-1,-1,1,1)&amp;".1")</f>
        <v>4.1</v>
      </c>
      <c r="N35" s="23" t="s">
        <v>545</v>
      </c>
      <c r="O35" s="23" t="s">
        <v>544</v>
      </c>
      <c r="P35" s="23"/>
      <c r="Q35" s="144">
        <v>2</v>
      </c>
      <c r="R35" s="137">
        <v>2</v>
      </c>
      <c r="S35" s="169">
        <f>CEILING((IF(J35="Yes", 0, IF(H35="-",AA35,AA35+AA35*VLOOKUP(H35,BUFFERS_BY_TYPE,2,FALSE)))) +
   (IF(J35="Yes", 0, IF(H35="-",AA35,AA35+AA35*VLOOKUP(H35,BUFFERS_BY_TYPE,2,FALSE))))*VLOOKUP($S$5, SALES_CALL_SCALE_ARRAY, 2,FALSE),0.25)</f>
        <v>4</v>
      </c>
      <c r="T35" s="170"/>
      <c r="U35" s="24">
        <v>0</v>
      </c>
      <c r="V35" s="24">
        <v>1</v>
      </c>
      <c r="W35" s="24">
        <v>0</v>
      </c>
      <c r="X35" s="168">
        <v>1</v>
      </c>
      <c r="Y35" s="169">
        <f>CEILING((IF(P35=AS_DEV_EFFORT, DEV_EFFORT*Q35%,
                           IF(P35=AS_DURATION_EFFORT, (MANUAL_DURATION*5)*Q35%,
                                    (IF(Q35&lt;=1,X35,
                                          IF(SUM(U35:W35)=0,(Q35*X35),
                                               (((Q35*U35)*(X35+(X35*EXTRA_FOR_H)))+
                                               ((Q35*V35)*X35)+
                                               ((Q35*W35)*(X35-(X35*LESS_FOR_L)))
                                    )*IF(R35=0,1,R35))))))+Z35), 0.25)</f>
        <v>4</v>
      </c>
      <c r="Z35" s="25"/>
      <c r="AA35" s="169">
        <f>Y35+Y35*VLOOKUP(I35,EXTRAS_ARRAY,2,FALSE)</f>
        <v>4</v>
      </c>
      <c r="AB35" s="23"/>
      <c r="AC35" s="37"/>
      <c r="AD35" s="26" t="str">
        <f>IF(J35&lt;&gt;"Yes",
IF(S35&lt;=0,"Error: Effort value is not defined or is invalid.",
IF(AND(SUM(U35:W35)&gt;0,SUM(U35:W35)&lt;&gt;1),"Error: Complexity % distribution should sum to 100%.",
IF(AND(P35=AS_DEV_EFFORT,X35&lt;&gt;0),"Error: PDs should not be defined when defining as dev effort %.",
IF(AND(P35=AS_DURATION_EFFORT,X35&lt;&gt;0),"Error: PDs should not be defined when defining as duration effort %.","")))))</f>
        <v/>
      </c>
    </row>
    <row r="36" spans="1:30" ht="43.2" hidden="1" outlineLevel="2" x14ac:dyDescent="0.3">
      <c r="A36" s="93" t="s">
        <v>0</v>
      </c>
      <c r="B36" s="21"/>
      <c r="C36" s="85"/>
      <c r="D36" s="85"/>
      <c r="E36" s="85"/>
      <c r="F36" s="86"/>
      <c r="G36" s="22" t="s">
        <v>23</v>
      </c>
      <c r="H36" s="22" t="s">
        <v>23</v>
      </c>
      <c r="I36" s="23" t="s">
        <v>23</v>
      </c>
      <c r="J36" s="22" t="s">
        <v>23</v>
      </c>
      <c r="K36" s="38"/>
      <c r="L36" s="22"/>
      <c r="M36" s="286">
        <f ca="1">IFERROR(OFFSET(M36,-1,,1,1)+0.1,OFFSET(M36,-1,-1,1,1)&amp;".1")</f>
        <v>4.1999999999999993</v>
      </c>
      <c r="N36" s="23" t="s">
        <v>546</v>
      </c>
      <c r="O36" s="23" t="s">
        <v>544</v>
      </c>
      <c r="P36" s="23"/>
      <c r="Q36" s="144">
        <v>50</v>
      </c>
      <c r="R36" s="137"/>
      <c r="S36" s="169">
        <f>CEILING((IF(J36="Yes", 0, IF(H36="-",AA36,AA36+AA36*VLOOKUP(H36,BUFFERS_BY_TYPE,2,FALSE)))) +
   (IF(J36="Yes", 0, IF(H36="-",AA36,AA36+AA36*VLOOKUP(H36,BUFFERS_BY_TYPE,2,FALSE))))*VLOOKUP($S$5, SALES_CALL_SCALE_ARRAY, 2,FALSE),0.25)</f>
        <v>9.5</v>
      </c>
      <c r="T36" s="170"/>
      <c r="U36" s="24">
        <v>0</v>
      </c>
      <c r="V36" s="24">
        <v>0</v>
      </c>
      <c r="W36" s="24">
        <v>1</v>
      </c>
      <c r="X36" s="168">
        <v>0.25</v>
      </c>
      <c r="Y36" s="169">
        <f>CEILING((IF(P36=AS_DEV_EFFORT, DEV_EFFORT*Q36%,
                           IF(P36=AS_DURATION_EFFORT, (MANUAL_DURATION*5)*Q36%,
                                    (IF(Q36&lt;=1,X36,
                                          IF(SUM(U36:W36)=0,(Q36*X36),
                                               (((Q36*U36)*(X36+(X36*EXTRA_FOR_H)))+
                                               ((Q36*V36)*X36)+
                                               ((Q36*W36)*(X36-(X36*LESS_FOR_L)))
                                    )*IF(R36=0,1,R36))))))+Z36), 0.25)</f>
        <v>9.5</v>
      </c>
      <c r="Z36" s="25"/>
      <c r="AA36" s="169">
        <f>Y36+Y36*VLOOKUP(I36,EXTRAS_ARRAY,2,FALSE)</f>
        <v>9.5</v>
      </c>
      <c r="AB36" s="23"/>
      <c r="AC36" s="37"/>
      <c r="AD36" s="26" t="str">
        <f>IF(J36&lt;&gt;"Yes",
IF(S36&lt;=0,"Error: Effort value is not defined or is invalid.",
IF(AND(SUM(U36:W36)&gt;0,SUM(U36:W36)&lt;&gt;1),"Error: Complexity % distribution should sum to 100%.",
IF(AND(P36=AS_DEV_EFFORT,X36&lt;&gt;0),"Error: PDs should not be defined when defining as dev effort %.",
IF(AND(P36=AS_DURATION_EFFORT,X36&lt;&gt;0),"Error: PDs should not be defined when defining as duration effort %.","")))))</f>
        <v/>
      </c>
    </row>
    <row r="37" spans="1:30" ht="43.2" hidden="1" outlineLevel="2" x14ac:dyDescent="0.3">
      <c r="A37" s="93" t="s">
        <v>0</v>
      </c>
      <c r="B37" s="21"/>
      <c r="C37" s="85"/>
      <c r="D37" s="85"/>
      <c r="E37" s="85"/>
      <c r="F37" s="86"/>
      <c r="G37" s="22" t="s">
        <v>23</v>
      </c>
      <c r="H37" s="22" t="s">
        <v>23</v>
      </c>
      <c r="I37" s="23" t="s">
        <v>23</v>
      </c>
      <c r="J37" s="22" t="s">
        <v>23</v>
      </c>
      <c r="K37" s="38"/>
      <c r="L37" s="22"/>
      <c r="M37" s="286">
        <f ca="1">IFERROR(OFFSET(M37,-1,,1,1)+0.1,OFFSET(M37,-1,-1,1,1)&amp;".1")</f>
        <v>4.2999999999999989</v>
      </c>
      <c r="N37" s="23" t="s">
        <v>547</v>
      </c>
      <c r="O37" s="23" t="s">
        <v>544</v>
      </c>
      <c r="P37" s="23"/>
      <c r="Q37" s="144">
        <v>2</v>
      </c>
      <c r="R37" s="137">
        <v>2</v>
      </c>
      <c r="S37" s="169">
        <f>CEILING((IF(J37="Yes", 0, IF(H37="-",AA37,AA37+AA37*VLOOKUP(H37,BUFFERS_BY_TYPE,2,FALSE)))) +
   (IF(J37="Yes", 0, IF(H37="-",AA37,AA37+AA37*VLOOKUP(H37,BUFFERS_BY_TYPE,2,FALSE))))*VLOOKUP($S$5, SALES_CALL_SCALE_ARRAY, 2,FALSE),0.25)</f>
        <v>4</v>
      </c>
      <c r="T37" s="170"/>
      <c r="U37" s="24">
        <v>0</v>
      </c>
      <c r="V37" s="24">
        <v>1</v>
      </c>
      <c r="W37" s="24">
        <v>0</v>
      </c>
      <c r="X37" s="168">
        <v>1</v>
      </c>
      <c r="Y37" s="169">
        <f>CEILING((IF(P37=AS_DEV_EFFORT, DEV_EFFORT*Q37%,
                           IF(P37=AS_DURATION_EFFORT, (MANUAL_DURATION*5)*Q37%,
                                    (IF(Q37&lt;=1,X37,
                                          IF(SUM(U37:W37)=0,(Q37*X37),
                                               (((Q37*U37)*(X37+(X37*EXTRA_FOR_H)))+
                                               ((Q37*V37)*X37)+
                                               ((Q37*W37)*(X37-(X37*LESS_FOR_L)))
                                    )*IF(R37=0,1,R37))))))+Z37), 0.25)</f>
        <v>4</v>
      </c>
      <c r="Z37" s="25"/>
      <c r="AA37" s="169">
        <f>Y37+Y37*VLOOKUP(I37,EXTRAS_ARRAY,2,FALSE)</f>
        <v>4</v>
      </c>
      <c r="AB37" s="23"/>
      <c r="AC37" s="37"/>
      <c r="AD37" s="26" t="str">
        <f>IF(J37&lt;&gt;"Yes",
IF(S37&lt;=0,"Error: Effort value is not defined or is invalid.",
IF(AND(SUM(U37:W37)&gt;0,SUM(U37:W37)&lt;&gt;1),"Error: Complexity % distribution should sum to 100%.",
IF(AND(P37=AS_DEV_EFFORT,X37&lt;&gt;0),"Error: PDs should not be defined when defining as dev effort %.",
IF(AND(P37=AS_DURATION_EFFORT,X37&lt;&gt;0),"Error: PDs should not be defined when defining as duration effort %.","")))))</f>
        <v/>
      </c>
    </row>
    <row r="38" spans="1:30" ht="43.2" hidden="1" outlineLevel="2" x14ac:dyDescent="0.3">
      <c r="A38" s="93" t="s">
        <v>0</v>
      </c>
      <c r="B38" s="21"/>
      <c r="C38" s="85"/>
      <c r="D38" s="85"/>
      <c r="E38" s="85"/>
      <c r="F38" s="86"/>
      <c r="G38" s="22" t="s">
        <v>23</v>
      </c>
      <c r="H38" s="22" t="s">
        <v>23</v>
      </c>
      <c r="I38" s="23" t="s">
        <v>23</v>
      </c>
      <c r="J38" s="22" t="s">
        <v>23</v>
      </c>
      <c r="K38" s="38"/>
      <c r="L38" s="22"/>
      <c r="M38" s="286">
        <f ca="1">IFERROR(OFFSET(M38,-1,,1,1)+0.1,OFFSET(M38,-1,-1,1,1)&amp;".1")</f>
        <v>4.3999999999999986</v>
      </c>
      <c r="N38" s="23" t="s">
        <v>548</v>
      </c>
      <c r="O38" s="23" t="s">
        <v>544</v>
      </c>
      <c r="P38" s="23"/>
      <c r="Q38" s="144">
        <v>30</v>
      </c>
      <c r="R38" s="137"/>
      <c r="S38" s="169">
        <f>CEILING((IF(J38="Yes", 0, IF(H38="-",AA38,AA38+AA38*VLOOKUP(H38,BUFFERS_BY_TYPE,2,FALSE)))) +
   (IF(J38="Yes", 0, IF(H38="-",AA38,AA38+AA38*VLOOKUP(H38,BUFFERS_BY_TYPE,2,FALSE))))*VLOOKUP($S$5, SALES_CALL_SCALE_ARRAY, 2,FALSE),0.25)</f>
        <v>3</v>
      </c>
      <c r="T38" s="170"/>
      <c r="U38" s="24">
        <v>0</v>
      </c>
      <c r="V38" s="24">
        <v>1</v>
      </c>
      <c r="W38" s="24">
        <v>0</v>
      </c>
      <c r="X38" s="168">
        <v>0.1</v>
      </c>
      <c r="Y38" s="169">
        <f>CEILING((IF(P38=AS_DEV_EFFORT, DEV_EFFORT*Q38%,
                           IF(P38=AS_DURATION_EFFORT, (MANUAL_DURATION*5)*Q38%,
                                    (IF(Q38&lt;=1,X38,
                                          IF(SUM(U38:W38)=0,(Q38*X38),
                                               (((Q38*U38)*(X38+(X38*EXTRA_FOR_H)))+
                                               ((Q38*V38)*X38)+
                                               ((Q38*W38)*(X38-(X38*LESS_FOR_L)))
                                    )*IF(R38=0,1,R38))))))+Z38), 0.25)</f>
        <v>3</v>
      </c>
      <c r="Z38" s="25"/>
      <c r="AA38" s="169">
        <f>Y38+Y38*VLOOKUP(I38,EXTRAS_ARRAY,2,FALSE)</f>
        <v>3</v>
      </c>
      <c r="AB38" s="23"/>
      <c r="AC38" s="37"/>
      <c r="AD38" s="26" t="str">
        <f>IF(J38&lt;&gt;"Yes",
IF(S38&lt;=0,"Error: Effort value is not defined or is invalid.",
IF(AND(SUM(U38:W38)&gt;0,SUM(U38:W38)&lt;&gt;1),"Error: Complexity % distribution should sum to 100%.",
IF(AND(P38=AS_DEV_EFFORT,X38&lt;&gt;0),"Error: PDs should not be defined when defining as dev effort %.",
IF(AND(P38=AS_DURATION_EFFORT,X38&lt;&gt;0),"Error: PDs should not be defined when defining as duration effort %.","")))))</f>
        <v/>
      </c>
    </row>
    <row r="39" spans="1:30" ht="43.2" hidden="1" outlineLevel="2" x14ac:dyDescent="0.3">
      <c r="A39" s="93" t="s">
        <v>0</v>
      </c>
      <c r="B39" s="21"/>
      <c r="C39" s="85"/>
      <c r="D39" s="85"/>
      <c r="E39" s="85"/>
      <c r="F39" s="86"/>
      <c r="G39" s="22" t="s">
        <v>23</v>
      </c>
      <c r="H39" s="22" t="s">
        <v>23</v>
      </c>
      <c r="I39" s="23" t="s">
        <v>23</v>
      </c>
      <c r="J39" s="22" t="s">
        <v>23</v>
      </c>
      <c r="K39" s="38"/>
      <c r="L39" s="22"/>
      <c r="M39" s="286">
        <f ca="1">IFERROR(OFFSET(M39,-1,,1,1)+0.1,OFFSET(M39,-1,-1,1,1)&amp;".1")</f>
        <v>4.4999999999999982</v>
      </c>
      <c r="N39" s="23" t="s">
        <v>549</v>
      </c>
      <c r="O39" s="23"/>
      <c r="P39" s="23"/>
      <c r="Q39" s="144">
        <v>2</v>
      </c>
      <c r="R39" s="137"/>
      <c r="S39" s="169">
        <f>CEILING((IF(J39="Yes", 0, IF(H39="-",AA39,AA39+AA39*VLOOKUP(H39,BUFFERS_BY_TYPE,2,FALSE)))) +
   (IF(J39="Yes", 0, IF(H39="-",AA39,AA39+AA39*VLOOKUP(H39,BUFFERS_BY_TYPE,2,FALSE))))*VLOOKUP($S$5, SALES_CALL_SCALE_ARRAY, 2,FALSE),0.25)</f>
        <v>2</v>
      </c>
      <c r="T39" s="170"/>
      <c r="U39" s="24">
        <v>0</v>
      </c>
      <c r="V39" s="24">
        <v>1</v>
      </c>
      <c r="W39" s="24">
        <v>0</v>
      </c>
      <c r="X39" s="168">
        <v>1</v>
      </c>
      <c r="Y39" s="169">
        <f>CEILING((IF(P39=AS_DEV_EFFORT, DEV_EFFORT*Q39%,
                           IF(P39=AS_DURATION_EFFORT, (MANUAL_DURATION*5)*Q39%,
                                    (IF(Q39&lt;=1,X39,
                                          IF(SUM(U39:W39)=0,(Q39*X39),
                                               (((Q39*U39)*(X39+(X39*EXTRA_FOR_H)))+
                                               ((Q39*V39)*X39)+
                                               ((Q39*W39)*(X39-(X39*LESS_FOR_L)))
                                    )*IF(R39=0,1,R39))))))+Z39), 0.25)</f>
        <v>2</v>
      </c>
      <c r="Z39" s="25"/>
      <c r="AA39" s="169">
        <f>Y39+Y39*VLOOKUP(I39,EXTRAS_ARRAY,2,FALSE)</f>
        <v>2</v>
      </c>
      <c r="AB39" s="23"/>
      <c r="AC39" s="37"/>
      <c r="AD39" s="26" t="str">
        <f>IF(J39&lt;&gt;"Yes",
IF(S39&lt;=0,"Error: Effort value is not defined or is invalid.",
IF(AND(SUM(U39:W39)&gt;0,SUM(U39:W39)&lt;&gt;1),"Error: Complexity % distribution should sum to 100%.",
IF(AND(P39=AS_DEV_EFFORT,X39&lt;&gt;0),"Error: PDs should not be defined when defining as dev effort %.",
IF(AND(P39=AS_DURATION_EFFORT,X39&lt;&gt;0),"Error: PDs should not be defined when defining as duration effort %.","")))))</f>
        <v/>
      </c>
    </row>
    <row r="40" spans="1:30" s="11" customFormat="1" ht="7.5" hidden="1" customHeight="1" outlineLevel="2" x14ac:dyDescent="0.3">
      <c r="A40" s="93" t="s">
        <v>132</v>
      </c>
      <c r="B40" s="18"/>
      <c r="C40" s="78"/>
      <c r="D40" s="78"/>
      <c r="E40" s="78"/>
      <c r="F40" s="78"/>
      <c r="G40" s="10"/>
      <c r="H40" s="10"/>
      <c r="I40" s="10"/>
      <c r="J40" s="10"/>
      <c r="K40" s="10"/>
      <c r="L40" s="10"/>
      <c r="M40" s="287"/>
      <c r="N40" s="10"/>
      <c r="O40" s="10"/>
      <c r="P40" s="10"/>
      <c r="Q40" s="10"/>
      <c r="R40" s="10"/>
      <c r="S40" s="10"/>
      <c r="T40" s="18"/>
      <c r="U40" s="10"/>
      <c r="V40" s="10"/>
      <c r="W40" s="10"/>
      <c r="X40" s="18"/>
      <c r="Y40" s="10"/>
      <c r="Z40" s="10"/>
      <c r="AA40" s="10"/>
      <c r="AB40" s="60"/>
      <c r="AC40" s="60"/>
      <c r="AD40" s="12"/>
    </row>
    <row r="41" spans="1:30" s="17" customFormat="1" ht="15.6" hidden="1" outlineLevel="1" collapsed="1" x14ac:dyDescent="0.3">
      <c r="A41" s="93" t="s">
        <v>100</v>
      </c>
      <c r="B41" s="21"/>
      <c r="C41" s="84"/>
      <c r="D41" s="84"/>
      <c r="E41" s="84"/>
      <c r="F41" s="83"/>
      <c r="G41" s="32"/>
      <c r="H41" s="32"/>
      <c r="I41" s="32"/>
      <c r="J41" s="32"/>
      <c r="K41" s="32"/>
      <c r="L41" s="20">
        <f ca="1">LOOKUP(1000,INDIRECT("L1:"&amp;CELL("address",INDIRECT("R[-1]C",FALSE))))+1</f>
        <v>5</v>
      </c>
      <c r="M41" s="301" t="s">
        <v>534</v>
      </c>
      <c r="N41" s="301"/>
      <c r="O41" s="5"/>
      <c r="P41" s="33"/>
      <c r="Q41" s="33"/>
      <c r="R41" s="33"/>
      <c r="S41" s="33"/>
      <c r="T41" s="167">
        <f>IF($S$6="Exclude", SUMIFS(S42:S46, J42:J46, "&lt;&gt;Yes", G42:G46, "&lt;&gt;Yes"), SUMIFS(S42:S46, J42:J46, "&lt;&gt;Yes"))</f>
        <v>24</v>
      </c>
      <c r="U41" s="33"/>
      <c r="V41" s="33"/>
      <c r="W41" s="33"/>
      <c r="X41" s="34"/>
      <c r="Y41" s="35"/>
      <c r="Z41" s="35"/>
      <c r="AA41" s="35"/>
      <c r="AB41" s="240"/>
      <c r="AC41" s="36"/>
      <c r="AD41" s="26" t="str">
        <f>IF(M41="", "Error: Task name cannot be empty.", "")</f>
        <v/>
      </c>
    </row>
    <row r="42" spans="1:30" s="15" customFormat="1" ht="1.5" hidden="1" customHeight="1" outlineLevel="2" x14ac:dyDescent="0.3">
      <c r="A42" s="93" t="s">
        <v>101</v>
      </c>
      <c r="B42" s="21"/>
      <c r="C42" s="84"/>
      <c r="D42" s="84"/>
      <c r="E42" s="84"/>
      <c r="F42" s="83"/>
      <c r="G42" s="32"/>
      <c r="H42" s="32"/>
      <c r="I42" s="32"/>
      <c r="J42" s="32"/>
      <c r="K42" s="32"/>
      <c r="L42" s="175">
        <f ca="1">L41</f>
        <v>5</v>
      </c>
      <c r="M42" s="176" t="s">
        <v>105</v>
      </c>
      <c r="N42" s="173"/>
      <c r="O42" s="174"/>
      <c r="P42" s="33"/>
      <c r="Q42" s="33"/>
      <c r="R42" s="33"/>
      <c r="S42" s="33"/>
      <c r="T42" s="167"/>
      <c r="U42" s="33"/>
      <c r="V42" s="33"/>
      <c r="W42" s="33"/>
      <c r="X42" s="34"/>
      <c r="Y42" s="35"/>
      <c r="Z42" s="35"/>
      <c r="AA42" s="35"/>
      <c r="AB42" s="36"/>
      <c r="AC42" s="36"/>
      <c r="AD42" s="26"/>
    </row>
    <row r="43" spans="1:30" ht="115.2" hidden="1" outlineLevel="2" x14ac:dyDescent="0.3">
      <c r="A43" s="93" t="s">
        <v>0</v>
      </c>
      <c r="B43" s="21"/>
      <c r="C43" s="85"/>
      <c r="D43" s="85"/>
      <c r="E43" s="85"/>
      <c r="F43" s="86"/>
      <c r="G43" s="22" t="s">
        <v>23</v>
      </c>
      <c r="H43" s="22" t="s">
        <v>23</v>
      </c>
      <c r="I43" s="23" t="s">
        <v>23</v>
      </c>
      <c r="J43" s="22" t="s">
        <v>23</v>
      </c>
      <c r="K43" s="38"/>
      <c r="L43" s="22"/>
      <c r="M43" s="286" t="str">
        <f ca="1">IFERROR(OFFSET(M43,-1,,1,1)+0.1,OFFSET(M43,-1,-1,1,1)&amp;".1")</f>
        <v>5.1</v>
      </c>
      <c r="N43" s="23" t="s">
        <v>460</v>
      </c>
      <c r="O43" s="23" t="s">
        <v>521</v>
      </c>
      <c r="P43" s="23">
        <f>Total_FRs * R43</f>
        <v>210</v>
      </c>
      <c r="Q43" s="144">
        <f>Total_FRs</f>
        <v>30</v>
      </c>
      <c r="R43" s="137">
        <v>7</v>
      </c>
      <c r="S43" s="169">
        <f>CEILING((IF(J43="Yes", 0, IF(H43="-",AA43,AA43+AA43*VLOOKUP(H43,BUFFERS_BY_TYPE,2,FALSE)))) +
   (IF(J43="Yes", 0, IF(H43="-",AA43,AA43+AA43*VLOOKUP(H43,BUFFERS_BY_TYPE,2,FALSE))))*VLOOKUP($S$5, SALES_CALL_SCALE_ARRAY, 2,FALSE),0.25)</f>
        <v>21</v>
      </c>
      <c r="T43" s="170"/>
      <c r="U43" s="24">
        <v>0.1</v>
      </c>
      <c r="V43" s="24">
        <v>0.7</v>
      </c>
      <c r="W43" s="24">
        <v>0.2</v>
      </c>
      <c r="X43" s="168">
        <v>0.1</v>
      </c>
      <c r="Y43" s="169">
        <f>CEILING((IF(P43=AS_DEV_EFFORT, DEV_EFFORT*Q43%,
                           IF(P43=AS_DURATION_EFFORT, (MANUAL_DURATION*5)*Q43%,
                                    (IF(Q43&lt;=1,X43,
                                          IF(SUM(U43:W43)=0,(Q43*X43),
                                               (((Q43*U43)*(X43+(X43*EXTRA_FOR_H)))+
                                               ((Q43*V43)*X43)+
                                               ((Q43*W43)*(X43-(X43*LESS_FOR_L)))
                                    )*IF(R43=0,1,R43))))))+Z43), 0.25)</f>
        <v>21</v>
      </c>
      <c r="Z43" s="25"/>
      <c r="AA43" s="169">
        <f>Y43+Y43*VLOOKUP(I43,EXTRAS_ARRAY,2,FALSE)</f>
        <v>21</v>
      </c>
      <c r="AB43" s="23"/>
      <c r="AC43" s="37"/>
      <c r="AD43" s="26" t="str">
        <f>IF(J43&lt;&gt;"Yes",
IF(S43&lt;=0,"Error: Effort value is not defined or is invalid.",
IF(AND(SUM(U43:W43)&gt;0,SUM(U43:W43)&lt;&gt;1),"Error: Complexity % distribution should sum to 100%.",
IF(AND(P43=AS_DEV_EFFORT,X43&lt;&gt;0),"Error: PDs should not be defined when defining as dev effort %.",
IF(AND(P43=AS_DURATION_EFFORT,X43&lt;&gt;0),"Error: PDs should not be defined when defining as duration effort %.","")))))</f>
        <v/>
      </c>
    </row>
    <row r="44" spans="1:30" ht="43.2" hidden="1" outlineLevel="2" x14ac:dyDescent="0.3">
      <c r="A44" s="93" t="s">
        <v>0</v>
      </c>
      <c r="B44" s="21"/>
      <c r="C44" s="85"/>
      <c r="D44" s="85"/>
      <c r="E44" s="85"/>
      <c r="F44" s="86"/>
      <c r="G44" s="22" t="s">
        <v>23</v>
      </c>
      <c r="H44" s="22" t="s">
        <v>23</v>
      </c>
      <c r="I44" s="23" t="s">
        <v>23</v>
      </c>
      <c r="J44" s="22" t="s">
        <v>23</v>
      </c>
      <c r="K44" s="38"/>
      <c r="L44" s="22"/>
      <c r="M44" s="286">
        <f ca="1">IFERROR(OFFSET(M44,-1,,1,1)+0.1,OFFSET(M44,-1,-1,1,1)&amp;".1")</f>
        <v>5.1999999999999993</v>
      </c>
      <c r="N44" s="23" t="s">
        <v>461</v>
      </c>
      <c r="O44" s="23"/>
      <c r="P44" s="23"/>
      <c r="Q44" s="144">
        <v>1</v>
      </c>
      <c r="R44" s="137"/>
      <c r="S44" s="169">
        <f>CEILING((IF(J44="Yes", 0, IF(H44="-",AA44,AA44+AA44*VLOOKUP(H44,BUFFERS_BY_TYPE,2,FALSE)))) +
   (IF(J44="Yes", 0, IF(H44="-",AA44,AA44+AA44*VLOOKUP(H44,BUFFERS_BY_TYPE,2,FALSE))))*VLOOKUP($S$5, SALES_CALL_SCALE_ARRAY, 2,FALSE),0.25)</f>
        <v>2</v>
      </c>
      <c r="T44" s="170"/>
      <c r="U44" s="24">
        <v>0</v>
      </c>
      <c r="V44" s="24">
        <v>1</v>
      </c>
      <c r="W44" s="24">
        <v>0</v>
      </c>
      <c r="X44" s="168">
        <v>2</v>
      </c>
      <c r="Y44" s="169">
        <f>CEILING((IF(P44=AS_DEV_EFFORT, DEV_EFFORT*Q44%,
                           IF(P44=AS_DURATION_EFFORT, (MANUAL_DURATION*5)*Q44%,
                                    (IF(Q44&lt;=1,X44,
                                          IF(SUM(U44:W44)=0,(Q44*X44),
                                               (((Q44*U44)*(X44+(X44*EXTRA_FOR_H)))+
                                               ((Q44*V44)*X44)+
                                               ((Q44*W44)*(X44-(X44*LESS_FOR_L)))
                                    )*IF(R44=0,1,R44))))))+Z44), 0.25)</f>
        <v>2</v>
      </c>
      <c r="Z44" s="25"/>
      <c r="AA44" s="169">
        <f>Y44+Y44*VLOOKUP(I44,EXTRAS_ARRAY,2,FALSE)</f>
        <v>2</v>
      </c>
      <c r="AB44" s="23"/>
      <c r="AC44" s="37"/>
      <c r="AD44" s="26" t="str">
        <f>IF(J44&lt;&gt;"Yes",
IF(S44&lt;=0,"Error: Effort value is not defined or is invalid.",
IF(AND(SUM(U44:W44)&gt;0,SUM(U44:W44)&lt;&gt;1),"Error: Complexity % distribution should sum to 100%.",
IF(AND(P44=AS_DEV_EFFORT,X44&lt;&gt;0),"Error: PDs should not be defined when defining as dev effort %.",
IF(AND(P44=AS_DURATION_EFFORT,X44&lt;&gt;0),"Error: PDs should not be defined when defining as duration effort %.","")))))</f>
        <v/>
      </c>
    </row>
    <row r="45" spans="1:30" ht="43.2" hidden="1" outlineLevel="2" x14ac:dyDescent="0.3">
      <c r="A45" s="93" t="s">
        <v>0</v>
      </c>
      <c r="B45" s="21"/>
      <c r="C45" s="85"/>
      <c r="D45" s="85"/>
      <c r="E45" s="85"/>
      <c r="F45" s="86"/>
      <c r="G45" s="22" t="s">
        <v>23</v>
      </c>
      <c r="H45" s="22" t="s">
        <v>23</v>
      </c>
      <c r="I45" s="23" t="s">
        <v>23</v>
      </c>
      <c r="J45" s="22" t="s">
        <v>23</v>
      </c>
      <c r="K45" s="38"/>
      <c r="L45" s="22"/>
      <c r="M45" s="286">
        <f ca="1">IFERROR(OFFSET(M45,-1,,1,1)+0.1,OFFSET(M45,-1,-1,1,1)&amp;".1")</f>
        <v>5.2999999999999989</v>
      </c>
      <c r="N45" s="23" t="s">
        <v>462</v>
      </c>
      <c r="O45" s="23"/>
      <c r="P45" s="23"/>
      <c r="Q45" s="144">
        <v>1</v>
      </c>
      <c r="R45" s="137"/>
      <c r="S45" s="169">
        <f>CEILING((IF(J45="Yes", 0, IF(H45="-",AA45,AA45+AA45*VLOOKUP(H45,BUFFERS_BY_TYPE,2,FALSE)))) +
   (IF(J45="Yes", 0, IF(H45="-",AA45,AA45+AA45*VLOOKUP(H45,BUFFERS_BY_TYPE,2,FALSE))))*VLOOKUP($S$5, SALES_CALL_SCALE_ARRAY, 2,FALSE),0.25)</f>
        <v>1</v>
      </c>
      <c r="T45" s="170"/>
      <c r="U45" s="24">
        <v>0</v>
      </c>
      <c r="V45" s="24">
        <v>1</v>
      </c>
      <c r="W45" s="24">
        <v>0</v>
      </c>
      <c r="X45" s="168">
        <v>1</v>
      </c>
      <c r="Y45" s="169">
        <f>CEILING((IF(P45=AS_DEV_EFFORT, DEV_EFFORT*Q45%,
                           IF(P45=AS_DURATION_EFFORT, (MANUAL_DURATION*5)*Q45%,
                                    (IF(Q45&lt;=1,X45,
                                          IF(SUM(U45:W45)=0,(Q45*X45),
                                               (((Q45*U45)*(X45+(X45*EXTRA_FOR_H)))+
                                               ((Q45*V45)*X45)+
                                               ((Q45*W45)*(X45-(X45*LESS_FOR_L)))
                                    )*IF(R45=0,1,R45))))))+Z45), 0.25)</f>
        <v>1</v>
      </c>
      <c r="Z45" s="25"/>
      <c r="AA45" s="169">
        <f>Y45+Y45*VLOOKUP(I45,EXTRAS_ARRAY,2,FALSE)</f>
        <v>1</v>
      </c>
      <c r="AB45" s="23"/>
      <c r="AC45" s="37"/>
      <c r="AD45" s="26" t="str">
        <f>IF(J45&lt;&gt;"Yes",
IF(S45&lt;=0,"Error: Effort value is not defined or is invalid.",
IF(AND(SUM(U45:W45)&gt;0,SUM(U45:W45)&lt;&gt;1),"Error: Complexity % distribution should sum to 100%.",
IF(AND(P45=AS_DEV_EFFORT,X45&lt;&gt;0),"Error: PDs should not be defined when defining as dev effort %.",
IF(AND(P45=AS_DURATION_EFFORT,X45&lt;&gt;0),"Error: PDs should not be defined when defining as duration effort %.","")))))</f>
        <v/>
      </c>
    </row>
    <row r="46" spans="1:30" s="11" customFormat="1" ht="7.5" hidden="1" customHeight="1" outlineLevel="2" x14ac:dyDescent="0.3">
      <c r="A46" s="93" t="s">
        <v>132</v>
      </c>
      <c r="B46" s="18"/>
      <c r="C46" s="78"/>
      <c r="D46" s="78"/>
      <c r="E46" s="78"/>
      <c r="F46" s="78"/>
      <c r="G46" s="10"/>
      <c r="H46" s="10"/>
      <c r="I46" s="10"/>
      <c r="J46" s="10"/>
      <c r="K46" s="10"/>
      <c r="L46" s="10"/>
      <c r="M46" s="287"/>
      <c r="N46" s="10"/>
      <c r="O46" s="10"/>
      <c r="P46" s="10"/>
      <c r="Q46" s="10"/>
      <c r="R46" s="10"/>
      <c r="S46" s="10"/>
      <c r="T46" s="18"/>
      <c r="U46" s="10"/>
      <c r="V46" s="10"/>
      <c r="W46" s="10"/>
      <c r="X46" s="18"/>
      <c r="Y46" s="10"/>
      <c r="Z46" s="10"/>
      <c r="AA46" s="10"/>
      <c r="AB46" s="60"/>
      <c r="AC46" s="60"/>
      <c r="AD46" s="12"/>
    </row>
    <row r="47" spans="1:30" s="17" customFormat="1" ht="15.6" hidden="1" outlineLevel="1" collapsed="1" x14ac:dyDescent="0.3">
      <c r="A47" s="93" t="s">
        <v>100</v>
      </c>
      <c r="B47" s="21"/>
      <c r="C47" s="84"/>
      <c r="D47" s="84"/>
      <c r="E47" s="84"/>
      <c r="F47" s="83"/>
      <c r="G47" s="32"/>
      <c r="H47" s="32"/>
      <c r="I47" s="32"/>
      <c r="J47" s="32"/>
      <c r="K47" s="32"/>
      <c r="L47" s="20">
        <f ca="1">LOOKUP(1000,INDIRECT("L1:"&amp;CELL("address",INDIRECT("R[-1]C",FALSE))))+1</f>
        <v>6</v>
      </c>
      <c r="M47" s="301" t="s">
        <v>535</v>
      </c>
      <c r="N47" s="301"/>
      <c r="O47" s="5"/>
      <c r="P47" s="33"/>
      <c r="Q47" s="33"/>
      <c r="R47" s="33"/>
      <c r="S47" s="33"/>
      <c r="T47" s="167">
        <f>IF($S$6="Exclude", SUMIFS(S48:S55, J48:J55, "&lt;&gt;Yes", G48:G55, "&lt;&gt;Yes"), SUMIFS(S48:S55, J48:J55, "&lt;&gt;Yes"))</f>
        <v>18.75</v>
      </c>
      <c r="U47" s="33"/>
      <c r="V47" s="33"/>
      <c r="W47" s="33"/>
      <c r="X47" s="34"/>
      <c r="Y47" s="35"/>
      <c r="Z47" s="35"/>
      <c r="AA47" s="35"/>
      <c r="AB47" s="240"/>
      <c r="AC47" s="36"/>
      <c r="AD47" s="26" t="str">
        <f>IF(M47="", "Error: Task name cannot be empty.", "")</f>
        <v/>
      </c>
    </row>
    <row r="48" spans="1:30" s="15" customFormat="1" ht="1.5" hidden="1" customHeight="1" outlineLevel="2" x14ac:dyDescent="0.3">
      <c r="A48" s="93" t="s">
        <v>101</v>
      </c>
      <c r="B48" s="21"/>
      <c r="C48" s="84"/>
      <c r="D48" s="84"/>
      <c r="E48" s="84"/>
      <c r="F48" s="83"/>
      <c r="G48" s="32"/>
      <c r="H48" s="32"/>
      <c r="I48" s="32"/>
      <c r="J48" s="32"/>
      <c r="K48" s="32"/>
      <c r="L48" s="175">
        <f ca="1">L47</f>
        <v>6</v>
      </c>
      <c r="M48" s="176" t="s">
        <v>105</v>
      </c>
      <c r="N48" s="173"/>
      <c r="O48" s="174"/>
      <c r="P48" s="33"/>
      <c r="Q48" s="33"/>
      <c r="R48" s="33"/>
      <c r="S48" s="33"/>
      <c r="T48" s="167"/>
      <c r="U48" s="33"/>
      <c r="V48" s="33"/>
      <c r="W48" s="33"/>
      <c r="X48" s="34"/>
      <c r="Y48" s="35"/>
      <c r="Z48" s="35"/>
      <c r="AA48" s="35"/>
      <c r="AB48" s="36"/>
      <c r="AC48" s="36"/>
      <c r="AD48" s="26"/>
    </row>
    <row r="49" spans="1:30" ht="43.2" hidden="1" outlineLevel="2" x14ac:dyDescent="0.3">
      <c r="A49" s="93" t="s">
        <v>0</v>
      </c>
      <c r="B49" s="21"/>
      <c r="C49" s="85"/>
      <c r="D49" s="85"/>
      <c r="E49" s="85"/>
      <c r="F49" s="86"/>
      <c r="G49" s="22" t="s">
        <v>6</v>
      </c>
      <c r="H49" s="22" t="s">
        <v>23</v>
      </c>
      <c r="I49" s="23" t="s">
        <v>23</v>
      </c>
      <c r="J49" s="22" t="s">
        <v>23</v>
      </c>
      <c r="K49" s="38"/>
      <c r="L49" s="22"/>
      <c r="M49" s="286" t="str">
        <f t="shared" ref="M49:M54" ca="1" si="0">IFERROR(OFFSET(M49,-1,,1,1)+0.1,OFFSET(M49,-1,-1,1,1)&amp;".1")</f>
        <v>6.1</v>
      </c>
      <c r="N49" s="23" t="s">
        <v>550</v>
      </c>
      <c r="O49" s="23"/>
      <c r="P49" s="23"/>
      <c r="Q49" s="144">
        <v>10</v>
      </c>
      <c r="R49" s="137"/>
      <c r="S49" s="169">
        <f t="shared" ref="S49:S54" si="1">CEILING((IF(J49="Yes", 0, IF(H49="-",AA49,AA49+AA49*VLOOKUP(H49,BUFFERS_BY_TYPE,2,FALSE)))) +
   (IF(J49="Yes", 0, IF(H49="-",AA49,AA49+AA49*VLOOKUP(H49,BUFFERS_BY_TYPE,2,FALSE))))*VLOOKUP($S$5, SALES_CALL_SCALE_ARRAY, 2,FALSE),0.25)</f>
        <v>2.5</v>
      </c>
      <c r="T49" s="170"/>
      <c r="U49" s="24">
        <v>0</v>
      </c>
      <c r="V49" s="24">
        <v>1</v>
      </c>
      <c r="W49" s="24">
        <v>0</v>
      </c>
      <c r="X49" s="168">
        <v>0.25</v>
      </c>
      <c r="Y49" s="169">
        <f t="shared" ref="Y49:Y54" si="2">CEILING((IF(P49=AS_DEV_EFFORT, DEV_EFFORT*Q49%,
                           IF(P49=AS_DURATION_EFFORT, (MANUAL_DURATION*5)*Q49%,
                                    (IF(Q49&lt;=1,X49,
                                          IF(SUM(U49:W49)=0,(Q49*X49),
                                               (((Q49*U49)*(X49+(X49*EXTRA_FOR_H)))+
                                               ((Q49*V49)*X49)+
                                               ((Q49*W49)*(X49-(X49*LESS_FOR_L)))
                                    )*IF(R49=0,1,R49))))))+Z49), 0.25)</f>
        <v>2.5</v>
      </c>
      <c r="Z49" s="25"/>
      <c r="AA49" s="169">
        <f t="shared" ref="AA49:AA54" si="3">Y49+Y49*VLOOKUP(I49,EXTRAS_ARRAY,2,FALSE)</f>
        <v>2.5</v>
      </c>
      <c r="AB49" s="23"/>
      <c r="AC49" s="37"/>
      <c r="AD49" s="26" t="str">
        <f t="shared" ref="AD49:AD54" si="4">IF(J49&lt;&gt;"Yes",
IF(S49&lt;=0,"Error: Effort value is not defined or is invalid.",
IF(AND(SUM(U49:W49)&gt;0,SUM(U49:W49)&lt;&gt;1),"Error: Complexity % distribution should sum to 100%.",
IF(AND(P49=AS_DEV_EFFORT,X49&lt;&gt;0),"Error: PDs should not be defined when defining as dev effort %.",
IF(AND(P49=AS_DURATION_EFFORT,X49&lt;&gt;0),"Error: PDs should not be defined when defining as duration effort %.","")))))</f>
        <v/>
      </c>
    </row>
    <row r="50" spans="1:30" ht="43.2" hidden="1" outlineLevel="2" x14ac:dyDescent="0.3">
      <c r="A50" s="93" t="s">
        <v>0</v>
      </c>
      <c r="B50" s="21"/>
      <c r="C50" s="85"/>
      <c r="D50" s="85"/>
      <c r="E50" s="85"/>
      <c r="F50" s="86"/>
      <c r="G50" s="22" t="s">
        <v>6</v>
      </c>
      <c r="H50" s="22" t="s">
        <v>23</v>
      </c>
      <c r="I50" s="23" t="s">
        <v>23</v>
      </c>
      <c r="J50" s="22" t="s">
        <v>23</v>
      </c>
      <c r="K50" s="38"/>
      <c r="L50" s="22"/>
      <c r="M50" s="286">
        <f t="shared" ca="1" si="0"/>
        <v>6.1999999999999993</v>
      </c>
      <c r="N50" s="23" t="s">
        <v>551</v>
      </c>
      <c r="O50" s="23"/>
      <c r="P50" s="23"/>
      <c r="Q50" s="144">
        <v>30</v>
      </c>
      <c r="R50" s="137"/>
      <c r="S50" s="169">
        <f t="shared" si="1"/>
        <v>4.5</v>
      </c>
      <c r="T50" s="170"/>
      <c r="U50" s="24">
        <v>0</v>
      </c>
      <c r="V50" s="24">
        <v>1</v>
      </c>
      <c r="W50" s="24">
        <v>0</v>
      </c>
      <c r="X50" s="168">
        <v>0.15</v>
      </c>
      <c r="Y50" s="169">
        <f t="shared" si="2"/>
        <v>4.5</v>
      </c>
      <c r="Z50" s="25"/>
      <c r="AA50" s="169">
        <f t="shared" si="3"/>
        <v>4.5</v>
      </c>
      <c r="AB50" s="23"/>
      <c r="AC50" s="37"/>
      <c r="AD50" s="26" t="str">
        <f t="shared" si="4"/>
        <v/>
      </c>
    </row>
    <row r="51" spans="1:30" ht="43.2" hidden="1" outlineLevel="2" x14ac:dyDescent="0.3">
      <c r="A51" s="93" t="s">
        <v>0</v>
      </c>
      <c r="B51" s="21"/>
      <c r="C51" s="85"/>
      <c r="D51" s="85"/>
      <c r="E51" s="85"/>
      <c r="F51" s="86"/>
      <c r="G51" s="22" t="s">
        <v>6</v>
      </c>
      <c r="H51" s="22" t="s">
        <v>23</v>
      </c>
      <c r="I51" s="23" t="s">
        <v>23</v>
      </c>
      <c r="J51" s="22" t="s">
        <v>23</v>
      </c>
      <c r="K51" s="38"/>
      <c r="L51" s="22"/>
      <c r="M51" s="286">
        <f t="shared" ca="1" si="0"/>
        <v>6.2999999999999989</v>
      </c>
      <c r="N51" s="23" t="s">
        <v>552</v>
      </c>
      <c r="O51" s="23"/>
      <c r="P51" s="23"/>
      <c r="Q51" s="144">
        <v>2</v>
      </c>
      <c r="R51" s="137"/>
      <c r="S51" s="169">
        <f t="shared" si="1"/>
        <v>2</v>
      </c>
      <c r="T51" s="170"/>
      <c r="U51" s="24">
        <v>0</v>
      </c>
      <c r="V51" s="24">
        <v>1</v>
      </c>
      <c r="W51" s="24">
        <v>0</v>
      </c>
      <c r="X51" s="168">
        <v>1</v>
      </c>
      <c r="Y51" s="169">
        <f t="shared" si="2"/>
        <v>2</v>
      </c>
      <c r="Z51" s="25"/>
      <c r="AA51" s="169">
        <f t="shared" si="3"/>
        <v>2</v>
      </c>
      <c r="AB51" s="23"/>
      <c r="AC51" s="37"/>
      <c r="AD51" s="26" t="str">
        <f t="shared" si="4"/>
        <v/>
      </c>
    </row>
    <row r="52" spans="1:30" ht="43.2" hidden="1" outlineLevel="2" x14ac:dyDescent="0.3">
      <c r="A52" s="93" t="s">
        <v>0</v>
      </c>
      <c r="B52" s="21"/>
      <c r="C52" s="85"/>
      <c r="D52" s="85"/>
      <c r="E52" s="85"/>
      <c r="F52" s="86"/>
      <c r="G52" s="22" t="s">
        <v>6</v>
      </c>
      <c r="H52" s="22" t="s">
        <v>23</v>
      </c>
      <c r="I52" s="23" t="s">
        <v>23</v>
      </c>
      <c r="J52" s="22" t="s">
        <v>23</v>
      </c>
      <c r="K52" s="38"/>
      <c r="L52" s="22"/>
      <c r="M52" s="286">
        <f t="shared" ca="1" si="0"/>
        <v>6.3999999999999986</v>
      </c>
      <c r="N52" s="23" t="s">
        <v>553</v>
      </c>
      <c r="O52" s="23"/>
      <c r="P52" s="23"/>
      <c r="Q52" s="144">
        <v>10</v>
      </c>
      <c r="R52" s="137"/>
      <c r="S52" s="169">
        <f t="shared" si="1"/>
        <v>2.5</v>
      </c>
      <c r="T52" s="170"/>
      <c r="U52" s="24">
        <v>0</v>
      </c>
      <c r="V52" s="24">
        <v>1</v>
      </c>
      <c r="W52" s="24">
        <v>0</v>
      </c>
      <c r="X52" s="168">
        <v>0.25</v>
      </c>
      <c r="Y52" s="169">
        <f t="shared" si="2"/>
        <v>2.5</v>
      </c>
      <c r="Z52" s="25"/>
      <c r="AA52" s="169">
        <f t="shared" si="3"/>
        <v>2.5</v>
      </c>
      <c r="AB52" s="23"/>
      <c r="AC52" s="37"/>
      <c r="AD52" s="26" t="str">
        <f t="shared" si="4"/>
        <v/>
      </c>
    </row>
    <row r="53" spans="1:30" ht="43.2" hidden="1" outlineLevel="2" x14ac:dyDescent="0.3">
      <c r="A53" s="93" t="s">
        <v>0</v>
      </c>
      <c r="B53" s="21"/>
      <c r="C53" s="85"/>
      <c r="D53" s="85"/>
      <c r="E53" s="85"/>
      <c r="F53" s="86"/>
      <c r="G53" s="22" t="s">
        <v>6</v>
      </c>
      <c r="H53" s="22" t="s">
        <v>23</v>
      </c>
      <c r="I53" s="23" t="s">
        <v>23</v>
      </c>
      <c r="J53" s="22" t="s">
        <v>23</v>
      </c>
      <c r="K53" s="38"/>
      <c r="L53" s="22"/>
      <c r="M53" s="286">
        <f t="shared" ca="1" si="0"/>
        <v>6.4999999999999982</v>
      </c>
      <c r="N53" s="23" t="s">
        <v>554</v>
      </c>
      <c r="O53" s="23"/>
      <c r="P53" s="23"/>
      <c r="Q53" s="144">
        <v>25</v>
      </c>
      <c r="R53" s="137"/>
      <c r="S53" s="169">
        <f t="shared" si="1"/>
        <v>6.25</v>
      </c>
      <c r="T53" s="170"/>
      <c r="U53" s="24">
        <v>0</v>
      </c>
      <c r="V53" s="24">
        <v>1</v>
      </c>
      <c r="W53" s="24">
        <v>0</v>
      </c>
      <c r="X53" s="168">
        <v>0.25</v>
      </c>
      <c r="Y53" s="169">
        <f t="shared" si="2"/>
        <v>6.25</v>
      </c>
      <c r="Z53" s="25"/>
      <c r="AA53" s="169">
        <f t="shared" si="3"/>
        <v>6.25</v>
      </c>
      <c r="AB53" s="23"/>
      <c r="AC53" s="37"/>
      <c r="AD53" s="26" t="str">
        <f t="shared" si="4"/>
        <v/>
      </c>
    </row>
    <row r="54" spans="1:30" ht="43.2" hidden="1" outlineLevel="2" x14ac:dyDescent="0.3">
      <c r="A54" s="93" t="s">
        <v>0</v>
      </c>
      <c r="B54" s="21"/>
      <c r="C54" s="85"/>
      <c r="D54" s="85"/>
      <c r="E54" s="85"/>
      <c r="F54" s="86"/>
      <c r="G54" s="22" t="s">
        <v>6</v>
      </c>
      <c r="H54" s="22" t="s">
        <v>23</v>
      </c>
      <c r="I54" s="23" t="s">
        <v>23</v>
      </c>
      <c r="J54" s="22" t="s">
        <v>23</v>
      </c>
      <c r="K54" s="38"/>
      <c r="L54" s="22"/>
      <c r="M54" s="286">
        <f t="shared" ca="1" si="0"/>
        <v>6.5999999999999979</v>
      </c>
      <c r="N54" s="23" t="s">
        <v>555</v>
      </c>
      <c r="O54" s="23"/>
      <c r="P54" s="23"/>
      <c r="Q54" s="144"/>
      <c r="R54" s="137">
        <v>1</v>
      </c>
      <c r="S54" s="169">
        <f t="shared" si="1"/>
        <v>1</v>
      </c>
      <c r="T54" s="170"/>
      <c r="U54" s="24">
        <v>0</v>
      </c>
      <c r="V54" s="24">
        <v>1</v>
      </c>
      <c r="W54" s="24">
        <v>0</v>
      </c>
      <c r="X54" s="168">
        <v>1</v>
      </c>
      <c r="Y54" s="169">
        <f t="shared" si="2"/>
        <v>1</v>
      </c>
      <c r="Z54" s="25"/>
      <c r="AA54" s="169">
        <f t="shared" si="3"/>
        <v>1</v>
      </c>
      <c r="AB54" s="23"/>
      <c r="AC54" s="37"/>
      <c r="AD54" s="26" t="str">
        <f t="shared" si="4"/>
        <v/>
      </c>
    </row>
    <row r="55" spans="1:30" s="11" customFormat="1" ht="7.5" hidden="1" customHeight="1" outlineLevel="2" x14ac:dyDescent="0.3">
      <c r="A55" s="93" t="s">
        <v>132</v>
      </c>
      <c r="B55" s="18"/>
      <c r="C55" s="78"/>
      <c r="D55" s="78"/>
      <c r="E55" s="78"/>
      <c r="F55" s="78"/>
      <c r="G55" s="10"/>
      <c r="H55" s="10"/>
      <c r="I55" s="10"/>
      <c r="J55" s="10"/>
      <c r="K55" s="10"/>
      <c r="L55" s="10"/>
      <c r="M55" s="287"/>
      <c r="N55" s="10"/>
      <c r="O55" s="10"/>
      <c r="P55" s="10"/>
      <c r="Q55" s="10"/>
      <c r="R55" s="10"/>
      <c r="S55" s="10"/>
      <c r="T55" s="18"/>
      <c r="U55" s="10"/>
      <c r="V55" s="10"/>
      <c r="W55" s="10"/>
      <c r="X55" s="18"/>
      <c r="Y55" s="10"/>
      <c r="Z55" s="10"/>
      <c r="AA55" s="10"/>
      <c r="AB55" s="60"/>
      <c r="AC55" s="60"/>
      <c r="AD55" s="12"/>
    </row>
    <row r="56" spans="1:30" s="17" customFormat="1" ht="15.6" hidden="1" outlineLevel="1" collapsed="1" x14ac:dyDescent="0.3">
      <c r="A56" s="93" t="s">
        <v>100</v>
      </c>
      <c r="B56" s="21"/>
      <c r="C56" s="84"/>
      <c r="D56" s="84"/>
      <c r="E56" s="84"/>
      <c r="F56" s="83"/>
      <c r="G56" s="32"/>
      <c r="H56" s="32"/>
      <c r="I56" s="32"/>
      <c r="J56" s="32"/>
      <c r="K56" s="32"/>
      <c r="L56" s="20">
        <f ca="1">LOOKUP(1000,INDIRECT("L1:"&amp;CELL("address",INDIRECT("R[-1]C",FALSE))))+1</f>
        <v>7</v>
      </c>
      <c r="M56" s="301" t="s">
        <v>536</v>
      </c>
      <c r="N56" s="301"/>
      <c r="O56" s="5"/>
      <c r="P56" s="33"/>
      <c r="Q56" s="33"/>
      <c r="R56" s="33"/>
      <c r="S56" s="33"/>
      <c r="T56" s="167">
        <f>IF($S$6="Exclude", SUMIFS(S57:S63, J57:J63, "&lt;&gt;Yes", G57:G63, "&lt;&gt;Yes"), SUMIFS(S57:S63, J57:J63, "&lt;&gt;Yes"))</f>
        <v>45.25</v>
      </c>
      <c r="U56" s="33"/>
      <c r="V56" s="33"/>
      <c r="W56" s="33"/>
      <c r="X56" s="34"/>
      <c r="Y56" s="35"/>
      <c r="Z56" s="35"/>
      <c r="AA56" s="35"/>
      <c r="AB56" s="240"/>
      <c r="AC56" s="36"/>
      <c r="AD56" s="26" t="str">
        <f>IF(M56="", "Error: Task name cannot be empty.", "")</f>
        <v/>
      </c>
    </row>
    <row r="57" spans="1:30" s="15" customFormat="1" ht="1.5" hidden="1" customHeight="1" outlineLevel="2" x14ac:dyDescent="0.3">
      <c r="A57" s="93" t="s">
        <v>101</v>
      </c>
      <c r="B57" s="21"/>
      <c r="C57" s="84"/>
      <c r="D57" s="84"/>
      <c r="E57" s="84"/>
      <c r="F57" s="83"/>
      <c r="G57" s="32"/>
      <c r="H57" s="32"/>
      <c r="I57" s="32"/>
      <c r="J57" s="32"/>
      <c r="K57" s="32"/>
      <c r="L57" s="175">
        <f ca="1">L56</f>
        <v>7</v>
      </c>
      <c r="M57" s="176" t="s">
        <v>105</v>
      </c>
      <c r="N57" s="173"/>
      <c r="O57" s="174"/>
      <c r="P57" s="33"/>
      <c r="Q57" s="33"/>
      <c r="R57" s="33"/>
      <c r="S57" s="33"/>
      <c r="T57" s="167"/>
      <c r="U57" s="33"/>
      <c r="V57" s="33"/>
      <c r="W57" s="33"/>
      <c r="X57" s="34"/>
      <c r="Y57" s="35"/>
      <c r="Z57" s="35"/>
      <c r="AA57" s="35"/>
      <c r="AB57" s="36"/>
      <c r="AC57" s="36"/>
      <c r="AD57" s="26"/>
    </row>
    <row r="58" spans="1:30" ht="28.8" hidden="1" outlineLevel="2" x14ac:dyDescent="0.3">
      <c r="A58" s="93" t="s">
        <v>0</v>
      </c>
      <c r="B58" s="21"/>
      <c r="C58" s="85"/>
      <c r="D58" s="85"/>
      <c r="E58" s="85"/>
      <c r="F58" s="86"/>
      <c r="G58" s="22" t="s">
        <v>23</v>
      </c>
      <c r="H58" s="22" t="s">
        <v>23</v>
      </c>
      <c r="I58" s="23" t="s">
        <v>23</v>
      </c>
      <c r="J58" s="22" t="s">
        <v>23</v>
      </c>
      <c r="K58" s="38"/>
      <c r="L58" s="22"/>
      <c r="M58" s="286" t="str">
        <f ca="1">IFERROR(OFFSET(M58,-1,,1,1)+0.1,OFFSET(M58,-1,-1,1,1)&amp;".1")</f>
        <v>7.1</v>
      </c>
      <c r="N58" s="23" t="s">
        <v>556</v>
      </c>
      <c r="O58" s="23" t="s">
        <v>125</v>
      </c>
      <c r="P58" s="23"/>
      <c r="Q58" s="144">
        <v>30</v>
      </c>
      <c r="R58" s="137">
        <v>4</v>
      </c>
      <c r="S58" s="169">
        <f>CEILING((IF(J58="Yes", 0, IF(H58="-",AA58,AA58+AA58*VLOOKUP(H58,BUFFERS_BY_TYPE,2,FALSE)))) +
   (IF(J58="Yes", 0, IF(H58="-",AA58,AA58+AA58*VLOOKUP(H58,BUFFERS_BY_TYPE,2,FALSE))))*VLOOKUP($S$5, SALES_CALL_SCALE_ARRAY, 2,FALSE),0.25)</f>
        <v>30</v>
      </c>
      <c r="T58" s="170"/>
      <c r="U58" s="24">
        <v>0</v>
      </c>
      <c r="V58" s="24">
        <v>1</v>
      </c>
      <c r="W58" s="24">
        <v>0</v>
      </c>
      <c r="X58" s="168">
        <v>0.25</v>
      </c>
      <c r="Y58" s="169">
        <f>CEILING((IF(P58=AS_DEV_EFFORT, DEV_EFFORT*Q58%,
                           IF(P58=AS_DURATION_EFFORT, (MANUAL_DURATION*5)*Q58%,
                                    (IF(Q58&lt;=1,X58,
                                          IF(SUM(U58:W58)=0,(Q58*X58),
                                               (((Q58*U58)*(X58+(X58*EXTRA_FOR_H)))+
                                               ((Q58*V58)*X58)+
                                               ((Q58*W58)*(X58-(X58*LESS_FOR_L)))
                                    )*IF(R58=0,1,R58))))))+Z58), 0.25)</f>
        <v>30</v>
      </c>
      <c r="Z58" s="25"/>
      <c r="AA58" s="169">
        <f>Y58+Y58*VLOOKUP(I58,EXTRAS_ARRAY,2,FALSE)</f>
        <v>30</v>
      </c>
      <c r="AB58" s="23" t="s">
        <v>584</v>
      </c>
      <c r="AC58" s="37"/>
      <c r="AD58" s="26" t="str">
        <f>IF(J58&lt;&gt;"Yes",
IF(S58&lt;=0,"Error: Effort value is not defined or is invalid.",
IF(AND(SUM(U58:W58)&gt;0,SUM(U58:W58)&lt;&gt;1),"Error: Complexity % distribution should sum to 100%.",
IF(AND(P58=AS_DEV_EFFORT,X58&lt;&gt;0),"Error: PDs should not be defined when defining as dev effort %.",
IF(AND(P58=AS_DURATION_EFFORT,X58&lt;&gt;0),"Error: PDs should not be defined when defining as duration effort %.","")))))</f>
        <v/>
      </c>
    </row>
    <row r="59" spans="1:30" ht="43.2" hidden="1" outlineLevel="2" x14ac:dyDescent="0.3">
      <c r="A59" s="93" t="s">
        <v>0</v>
      </c>
      <c r="B59" s="21"/>
      <c r="C59" s="85"/>
      <c r="D59" s="85"/>
      <c r="E59" s="85"/>
      <c r="F59" s="86"/>
      <c r="G59" s="22" t="s">
        <v>23</v>
      </c>
      <c r="H59" s="22" t="s">
        <v>23</v>
      </c>
      <c r="I59" s="23" t="s">
        <v>23</v>
      </c>
      <c r="J59" s="22" t="s">
        <v>23</v>
      </c>
      <c r="K59" s="38"/>
      <c r="L59" s="22"/>
      <c r="M59" s="286">
        <f ca="1">IFERROR(OFFSET(M59,-1,,1,1)+0.1,OFFSET(M59,-1,-1,1,1)&amp;".1")</f>
        <v>7.1999999999999993</v>
      </c>
      <c r="N59" s="23" t="s">
        <v>557</v>
      </c>
      <c r="O59" s="23" t="s">
        <v>125</v>
      </c>
      <c r="P59" s="23"/>
      <c r="Q59" s="144">
        <v>30</v>
      </c>
      <c r="R59" s="137"/>
      <c r="S59" s="169">
        <f>CEILING((IF(J59="Yes", 0, IF(H59="-",AA59,AA59+AA59*VLOOKUP(H59,BUFFERS_BY_TYPE,2,FALSE)))) +
   (IF(J59="Yes", 0, IF(H59="-",AA59,AA59+AA59*VLOOKUP(H59,BUFFERS_BY_TYPE,2,FALSE))))*VLOOKUP($S$5, SALES_CALL_SCALE_ARRAY, 2,FALSE),0.25)</f>
        <v>3</v>
      </c>
      <c r="T59" s="170"/>
      <c r="U59" s="24">
        <v>0</v>
      </c>
      <c r="V59" s="24">
        <v>1</v>
      </c>
      <c r="W59" s="24">
        <v>0</v>
      </c>
      <c r="X59" s="168">
        <v>0.1</v>
      </c>
      <c r="Y59" s="169">
        <f>CEILING((IF(P59=AS_DEV_EFFORT, DEV_EFFORT*Q59%,
                           IF(P59=AS_DURATION_EFFORT, (MANUAL_DURATION*5)*Q59%,
                                    (IF(Q59&lt;=1,X59,
                                          IF(SUM(U59:W59)=0,(Q59*X59),
                                               (((Q59*U59)*(X59+(X59*EXTRA_FOR_H)))+
                                               ((Q59*V59)*X59)+
                                               ((Q59*W59)*(X59-(X59*LESS_FOR_L)))
                                    )*IF(R59=0,1,R59))))))+Z59), 0.25)</f>
        <v>3</v>
      </c>
      <c r="Z59" s="25"/>
      <c r="AA59" s="169">
        <f>Y59+Y59*VLOOKUP(I59,EXTRAS_ARRAY,2,FALSE)</f>
        <v>3</v>
      </c>
      <c r="AB59" s="23"/>
      <c r="AC59" s="37"/>
      <c r="AD59" s="26" t="str">
        <f>IF(J59&lt;&gt;"Yes",
IF(S59&lt;=0,"Error: Effort value is not defined or is invalid.",
IF(AND(SUM(U59:W59)&gt;0,SUM(U59:W59)&lt;&gt;1),"Error: Complexity % distribution should sum to 100%.",
IF(AND(P59=AS_DEV_EFFORT,X59&lt;&gt;0),"Error: PDs should not be defined when defining as dev effort %.",
IF(AND(P59=AS_DURATION_EFFORT,X59&lt;&gt;0),"Error: PDs should not be defined when defining as duration effort %.","")))))</f>
        <v/>
      </c>
    </row>
    <row r="60" spans="1:30" ht="43.2" hidden="1" outlineLevel="2" x14ac:dyDescent="0.3">
      <c r="A60" s="93" t="s">
        <v>0</v>
      </c>
      <c r="B60" s="21"/>
      <c r="C60" s="85"/>
      <c r="D60" s="85"/>
      <c r="E60" s="85"/>
      <c r="F60" s="86"/>
      <c r="G60" s="22" t="s">
        <v>23</v>
      </c>
      <c r="H60" s="22" t="s">
        <v>23</v>
      </c>
      <c r="I60" s="23" t="s">
        <v>23</v>
      </c>
      <c r="J60" s="22" t="s">
        <v>23</v>
      </c>
      <c r="K60" s="38"/>
      <c r="L60" s="22"/>
      <c r="M60" s="286">
        <f ca="1">IFERROR(OFFSET(M60,-1,,1,1)+0.1,OFFSET(M60,-1,-1,1,1)&amp;".1")</f>
        <v>7.2999999999999989</v>
      </c>
      <c r="N60" s="23" t="s">
        <v>558</v>
      </c>
      <c r="O60" s="23" t="s">
        <v>560</v>
      </c>
      <c r="P60" s="23"/>
      <c r="Q60" s="144">
        <v>30</v>
      </c>
      <c r="R60" s="137"/>
      <c r="S60" s="169">
        <f>CEILING((IF(J60="Yes", 0, IF(H60="-",AA60,AA60+AA60*VLOOKUP(H60,BUFFERS_BY_TYPE,2,FALSE)))) +
   (IF(J60="Yes", 0, IF(H60="-",AA60,AA60+AA60*VLOOKUP(H60,BUFFERS_BY_TYPE,2,FALSE))))*VLOOKUP($S$5, SALES_CALL_SCALE_ARRAY, 2,FALSE),0.25)</f>
        <v>3</v>
      </c>
      <c r="T60" s="170"/>
      <c r="U60" s="24">
        <v>0</v>
      </c>
      <c r="V60" s="24">
        <v>1</v>
      </c>
      <c r="W60" s="24">
        <v>0</v>
      </c>
      <c r="X60" s="168">
        <v>0.1</v>
      </c>
      <c r="Y60" s="169">
        <f>CEILING((IF(P60=AS_DEV_EFFORT, DEV_EFFORT*Q60%,
                           IF(P60=AS_DURATION_EFFORT, (MANUAL_DURATION*5)*Q60%,
                                    (IF(Q60&lt;=1,X60,
                                          IF(SUM(U60:W60)=0,(Q60*X60),
                                               (((Q60*U60)*(X60+(X60*EXTRA_FOR_H)))+
                                               ((Q60*V60)*X60)+
                                               ((Q60*W60)*(X60-(X60*LESS_FOR_L)))
                                    )*IF(R60=0,1,R60))))))+Z60), 0.25)</f>
        <v>3</v>
      </c>
      <c r="Z60" s="25"/>
      <c r="AA60" s="169">
        <f>Y60+Y60*VLOOKUP(I60,EXTRAS_ARRAY,2,FALSE)</f>
        <v>3</v>
      </c>
      <c r="AB60" s="23"/>
      <c r="AC60" s="37"/>
      <c r="AD60" s="26" t="str">
        <f>IF(J60&lt;&gt;"Yes",
IF(S60&lt;=0,"Error: Effort value is not defined or is invalid.",
IF(AND(SUM(U60:W60)&gt;0,SUM(U60:W60)&lt;&gt;1),"Error: Complexity % distribution should sum to 100%.",
IF(AND(P60=AS_DEV_EFFORT,X60&lt;&gt;0),"Error: PDs should not be defined when defining as dev effort %.",
IF(AND(P60=AS_DURATION_EFFORT,X60&lt;&gt;0),"Error: PDs should not be defined when defining as duration effort %.","")))))</f>
        <v/>
      </c>
    </row>
    <row r="61" spans="1:30" ht="43.2" hidden="1" outlineLevel="2" x14ac:dyDescent="0.3">
      <c r="A61" s="93" t="s">
        <v>0</v>
      </c>
      <c r="B61" s="21"/>
      <c r="C61" s="85"/>
      <c r="D61" s="85"/>
      <c r="E61" s="85"/>
      <c r="F61" s="86"/>
      <c r="G61" s="22" t="s">
        <v>6</v>
      </c>
      <c r="H61" s="22" t="s">
        <v>23</v>
      </c>
      <c r="I61" s="23" t="s">
        <v>23</v>
      </c>
      <c r="J61" s="22" t="s">
        <v>23</v>
      </c>
      <c r="K61" s="38"/>
      <c r="L61" s="22"/>
      <c r="M61" s="286">
        <f ca="1">IFERROR(OFFSET(M61,-1,,1,1)+0.1,OFFSET(M61,-1,-1,1,1)&amp;".1")</f>
        <v>7.3999999999999986</v>
      </c>
      <c r="N61" s="23" t="s">
        <v>575</v>
      </c>
      <c r="O61" s="23" t="s">
        <v>577</v>
      </c>
      <c r="P61" s="274">
        <v>0.02</v>
      </c>
      <c r="Q61" s="144">
        <v>6</v>
      </c>
      <c r="R61" s="137"/>
      <c r="S61" s="169">
        <f>CEILING((IF(J61="Yes", 0, IF(H61="-",AA61,AA61+AA61*VLOOKUP(H61,BUFFERS_BY_TYPE,2,FALSE)))) +
   (IF(J61="Yes", 0, IF(H61="-",AA61,AA61+AA61*VLOOKUP(H61,BUFFERS_BY_TYPE,2,FALSE))))*VLOOKUP($S$5, SALES_CALL_SCALE_ARRAY, 2,FALSE),0.25)</f>
        <v>6</v>
      </c>
      <c r="T61" s="170"/>
      <c r="U61" s="24">
        <v>0</v>
      </c>
      <c r="V61" s="24">
        <v>1</v>
      </c>
      <c r="W61" s="24">
        <v>0</v>
      </c>
      <c r="X61" s="168">
        <v>1</v>
      </c>
      <c r="Y61" s="169">
        <f>CEILING((IF(P61=AS_DEV_EFFORT, DEV_EFFORT*Q61%,
                           IF(P61=AS_DURATION_EFFORT, (MANUAL_DURATION*5)*Q61%,
                                    (IF(Q61&lt;=1,X61,
                                          IF(SUM(U61:W61)=0,(Q61*X61),
                                               (((Q61*U61)*(X61+(X61*EXTRA_FOR_H)))+
                                               ((Q61*V61)*X61)+
                                               ((Q61*W61)*(X61-(X61*LESS_FOR_L)))
                                    )*IF(R61=0,1,R61))))))+Z61), 0.25)</f>
        <v>6</v>
      </c>
      <c r="Z61" s="25"/>
      <c r="AA61" s="169">
        <f>Y61+Y61*VLOOKUP(I61,EXTRAS_ARRAY,2,FALSE)</f>
        <v>6</v>
      </c>
      <c r="AB61" s="23" t="s">
        <v>578</v>
      </c>
      <c r="AC61" s="37"/>
      <c r="AD61" s="26" t="str">
        <f>IF(J61&lt;&gt;"Yes",
IF(S61&lt;=0,"Error: Effort value is not defined or is invalid.",
IF(AND(SUM(U61:W61)&gt;0,SUM(U61:W61)&lt;&gt;1),"Error: Complexity % distribution should sum to 100%.",
IF(AND(P61=AS_DEV_EFFORT,X61&lt;&gt;0),"Error: PDs should not be defined when defining as dev effort %.",
IF(AND(P61=AS_DURATION_EFFORT,X61&lt;&gt;0),"Error: PDs should not be defined when defining as duration effort %.","")))))</f>
        <v/>
      </c>
    </row>
    <row r="62" spans="1:30" ht="43.2" hidden="1" outlineLevel="2" x14ac:dyDescent="0.3">
      <c r="A62" s="93" t="s">
        <v>0</v>
      </c>
      <c r="B62" s="21"/>
      <c r="C62" s="85"/>
      <c r="D62" s="85"/>
      <c r="E62" s="85"/>
      <c r="F62" s="86"/>
      <c r="G62" s="22" t="s">
        <v>23</v>
      </c>
      <c r="H62" s="22" t="s">
        <v>23</v>
      </c>
      <c r="I62" s="23" t="s">
        <v>23</v>
      </c>
      <c r="J62" s="22" t="s">
        <v>23</v>
      </c>
      <c r="K62" s="38"/>
      <c r="L62" s="22"/>
      <c r="M62" s="286">
        <f ca="1">IFERROR(OFFSET(M62,-1,,1,1)+0.1,OFFSET(M62,-1,-1,1,1)&amp;".1")</f>
        <v>7.4999999999999982</v>
      </c>
      <c r="N62" s="23" t="s">
        <v>559</v>
      </c>
      <c r="O62" s="23" t="s">
        <v>522</v>
      </c>
      <c r="P62" s="23"/>
      <c r="Q62" s="144">
        <v>30</v>
      </c>
      <c r="R62" s="137"/>
      <c r="S62" s="169">
        <f>CEILING((IF(J62="Yes", 0, IF(H62="-",AA62,AA62+AA62*VLOOKUP(H62,BUFFERS_BY_TYPE,2,FALSE)))) +
   (IF(J62="Yes", 0, IF(H62="-",AA62,AA62+AA62*VLOOKUP(H62,BUFFERS_BY_TYPE,2,FALSE))))*VLOOKUP($S$5, SALES_CALL_SCALE_ARRAY, 2,FALSE),0.25)</f>
        <v>3.25</v>
      </c>
      <c r="T62" s="170"/>
      <c r="U62" s="24">
        <v>0.2</v>
      </c>
      <c r="V62" s="24">
        <v>0.6</v>
      </c>
      <c r="W62" s="24">
        <v>0.2</v>
      </c>
      <c r="X62" s="168">
        <v>0.1</v>
      </c>
      <c r="Y62" s="169">
        <f>CEILING((IF(P62=AS_DEV_EFFORT, DEV_EFFORT*Q62%,
                           IF(P62=AS_DURATION_EFFORT, (MANUAL_DURATION*5)*Q62%,
                                    (IF(Q62&lt;=1,X62,
                                          IF(SUM(U62:W62)=0,(Q62*X62),
                                               (((Q62*U62)*(X62+(X62*EXTRA_FOR_H)))+
                                               ((Q62*V62)*X62)+
                                               ((Q62*W62)*(X62-(X62*LESS_FOR_L)))
                                    )*IF(R62=0,1,R62))))))+Z62), 0.25)</f>
        <v>3.25</v>
      </c>
      <c r="Z62" s="25"/>
      <c r="AA62" s="169">
        <f>Y62+Y62*VLOOKUP(I62,EXTRAS_ARRAY,2,FALSE)</f>
        <v>3.25</v>
      </c>
      <c r="AB62" s="23"/>
      <c r="AC62" s="37"/>
      <c r="AD62" s="26" t="str">
        <f>IF(J62&lt;&gt;"Yes",
IF(S62&lt;=0,"Error: Effort value is not defined or is invalid.",
IF(AND(SUM(U62:W62)&gt;0,SUM(U62:W62)&lt;&gt;1),"Error: Complexity % distribution should sum to 100%.",
IF(AND(P62=AS_DEV_EFFORT,X62&lt;&gt;0),"Error: PDs should not be defined when defining as dev effort %.",
IF(AND(P62=AS_DURATION_EFFORT,X62&lt;&gt;0),"Error: PDs should not be defined when defining as duration effort %.","")))))</f>
        <v/>
      </c>
    </row>
    <row r="63" spans="1:30" s="11" customFormat="1" ht="7.5" hidden="1" customHeight="1" outlineLevel="2" x14ac:dyDescent="0.3">
      <c r="A63" s="93" t="s">
        <v>132</v>
      </c>
      <c r="B63" s="18"/>
      <c r="C63" s="78"/>
      <c r="D63" s="78"/>
      <c r="E63" s="78"/>
      <c r="F63" s="78"/>
      <c r="G63" s="10"/>
      <c r="H63" s="10"/>
      <c r="I63" s="10"/>
      <c r="J63" s="10"/>
      <c r="K63" s="10"/>
      <c r="L63" s="10"/>
      <c r="M63" s="287"/>
      <c r="N63" s="10"/>
      <c r="O63" s="10"/>
      <c r="P63" s="10"/>
      <c r="Q63" s="10"/>
      <c r="R63" s="10"/>
      <c r="S63" s="10"/>
      <c r="T63" s="18"/>
      <c r="U63" s="10"/>
      <c r="V63" s="10"/>
      <c r="W63" s="10"/>
      <c r="X63" s="18"/>
      <c r="Y63" s="10"/>
      <c r="Z63" s="10"/>
      <c r="AA63" s="10"/>
      <c r="AB63" s="60"/>
      <c r="AC63" s="60"/>
      <c r="AD63" s="12"/>
    </row>
    <row r="64" spans="1:30" s="11" customFormat="1" ht="3" hidden="1" customHeight="1" outlineLevel="1" x14ac:dyDescent="0.3">
      <c r="A64" s="93" t="s">
        <v>102</v>
      </c>
      <c r="B64" s="10"/>
      <c r="C64" s="78"/>
      <c r="D64" s="78"/>
      <c r="E64" s="78"/>
      <c r="F64" s="78"/>
      <c r="G64" s="59"/>
      <c r="H64" s="59"/>
      <c r="I64" s="59"/>
      <c r="J64" s="59"/>
      <c r="K64" s="59"/>
      <c r="L64" s="61"/>
      <c r="M64" s="288"/>
      <c r="N64" s="62"/>
      <c r="O64" s="62"/>
      <c r="P64" s="61"/>
      <c r="Q64" s="61"/>
      <c r="R64" s="61"/>
      <c r="S64" s="61"/>
      <c r="T64" s="61"/>
      <c r="U64" s="61"/>
      <c r="V64" s="61"/>
      <c r="W64" s="61"/>
      <c r="X64" s="61"/>
      <c r="Y64" s="61"/>
      <c r="Z64" s="61"/>
      <c r="AA64" s="61"/>
      <c r="AB64" s="62"/>
      <c r="AC64" s="62"/>
      <c r="AD64" s="12"/>
    </row>
    <row r="65" spans="1:30" s="17" customFormat="1" ht="18" collapsed="1" x14ac:dyDescent="0.3">
      <c r="A65" s="93" t="s">
        <v>98</v>
      </c>
      <c r="B65" s="14"/>
      <c r="C65" s="79"/>
      <c r="D65" s="79"/>
      <c r="E65" s="79"/>
      <c r="F65" s="78"/>
      <c r="G65" s="55"/>
      <c r="H65" s="55"/>
      <c r="I65" s="55"/>
      <c r="J65" s="55"/>
      <c r="K65" s="55"/>
      <c r="L65" s="55" t="s">
        <v>68</v>
      </c>
      <c r="M65" s="284" t="s">
        <v>72</v>
      </c>
      <c r="N65" s="56"/>
      <c r="O65" s="57"/>
      <c r="P65" s="58"/>
      <c r="Q65" s="58"/>
      <c r="R65" s="58"/>
      <c r="S65" s="331">
        <f>CEILING(SUMIF(J66:J95, "&lt;&gt;Yes", T66:T95),1)</f>
        <v>203</v>
      </c>
      <c r="T65" s="331"/>
      <c r="U65" s="58"/>
      <c r="V65" s="58"/>
      <c r="W65" s="58"/>
      <c r="X65" s="58"/>
      <c r="Y65" s="58"/>
      <c r="Z65" s="58"/>
      <c r="AA65" s="58"/>
      <c r="AB65" s="58"/>
      <c r="AC65" s="58"/>
      <c r="AD65" s="16"/>
    </row>
    <row r="66" spans="1:30" s="11" customFormat="1" ht="3" hidden="1" customHeight="1" outlineLevel="1" x14ac:dyDescent="0.3">
      <c r="A66" s="93" t="s">
        <v>99</v>
      </c>
      <c r="B66" s="18"/>
      <c r="C66" s="78"/>
      <c r="D66" s="78"/>
      <c r="E66" s="78"/>
      <c r="F66" s="78"/>
      <c r="G66" s="28"/>
      <c r="H66" s="28"/>
      <c r="I66" s="28"/>
      <c r="J66" s="28"/>
      <c r="K66" s="28"/>
      <c r="L66" s="29">
        <v>0</v>
      </c>
      <c r="M66" s="285"/>
      <c r="N66" s="28"/>
      <c r="O66" s="28"/>
      <c r="P66" s="28"/>
      <c r="Q66" s="28"/>
      <c r="R66" s="28"/>
      <c r="S66" s="28"/>
      <c r="T66" s="30"/>
      <c r="U66" s="28"/>
      <c r="V66" s="28"/>
      <c r="W66" s="28"/>
      <c r="X66" s="30"/>
      <c r="Y66" s="28"/>
      <c r="Z66" s="28"/>
      <c r="AA66" s="28"/>
      <c r="AB66" s="31"/>
      <c r="AC66" s="31"/>
      <c r="AD66" s="12"/>
    </row>
    <row r="67" spans="1:30" s="17" customFormat="1" ht="15.6" hidden="1" outlineLevel="1" x14ac:dyDescent="0.3">
      <c r="A67" s="93" t="s">
        <v>100</v>
      </c>
      <c r="B67" s="21"/>
      <c r="C67" s="84"/>
      <c r="D67" s="84"/>
      <c r="E67" s="84"/>
      <c r="F67" s="83"/>
      <c r="G67" s="32"/>
      <c r="H67" s="32"/>
      <c r="I67" s="32"/>
      <c r="J67" s="32"/>
      <c r="K67" s="32"/>
      <c r="L67" s="20">
        <f ca="1">LOOKUP(1000,INDIRECT("L1:"&amp;CELL("address",INDIRECT("R[-1]C",FALSE))))+1</f>
        <v>1</v>
      </c>
      <c r="M67" s="301" t="s">
        <v>455</v>
      </c>
      <c r="N67" s="301"/>
      <c r="O67" s="5"/>
      <c r="P67" s="33"/>
      <c r="Q67" s="33"/>
      <c r="R67" s="33"/>
      <c r="S67" s="33"/>
      <c r="T67" s="167">
        <f>IF($S$6="Exclude", SUMIFS(S68:S71, J68:J71, "&lt;&gt;Yes", G68:G71, "&lt;&gt;Yes"), SUMIFS(S68:S71, J68:J71, "&lt;&gt;Yes"))</f>
        <v>27.5</v>
      </c>
      <c r="U67" s="33"/>
      <c r="V67" s="33"/>
      <c r="W67" s="33"/>
      <c r="X67" s="34"/>
      <c r="Y67" s="35"/>
      <c r="Z67" s="35"/>
      <c r="AA67" s="35"/>
      <c r="AB67" s="240"/>
      <c r="AC67" s="36"/>
      <c r="AD67" s="26" t="str">
        <f>IF(M67="", "Error: Task name cannot be empty.", "")</f>
        <v/>
      </c>
    </row>
    <row r="68" spans="1:30" s="15" customFormat="1" ht="1.5" hidden="1" customHeight="1" outlineLevel="2" x14ac:dyDescent="0.3">
      <c r="A68" s="93" t="s">
        <v>101</v>
      </c>
      <c r="B68" s="21"/>
      <c r="C68" s="84"/>
      <c r="D68" s="84"/>
      <c r="E68" s="84"/>
      <c r="F68" s="83"/>
      <c r="G68" s="32"/>
      <c r="H68" s="32"/>
      <c r="I68" s="32"/>
      <c r="J68" s="32"/>
      <c r="K68" s="32"/>
      <c r="L68" s="175">
        <f ca="1">L67</f>
        <v>1</v>
      </c>
      <c r="M68" s="176" t="s">
        <v>105</v>
      </c>
      <c r="N68" s="173"/>
      <c r="O68" s="174"/>
      <c r="P68" s="33"/>
      <c r="Q68" s="33"/>
      <c r="R68" s="33"/>
      <c r="S68" s="33"/>
      <c r="T68" s="167"/>
      <c r="U68" s="33"/>
      <c r="V68" s="33"/>
      <c r="W68" s="33"/>
      <c r="X68" s="34"/>
      <c r="Y68" s="35"/>
      <c r="Z68" s="35"/>
      <c r="AA68" s="35"/>
      <c r="AB68" s="36"/>
      <c r="AC68" s="36"/>
      <c r="AD68" s="26"/>
    </row>
    <row r="69" spans="1:30" ht="15.6" hidden="1" outlineLevel="2" x14ac:dyDescent="0.3">
      <c r="A69" s="93" t="s">
        <v>0</v>
      </c>
      <c r="B69" s="21"/>
      <c r="C69" s="85"/>
      <c r="D69" s="85"/>
      <c r="E69" s="85"/>
      <c r="F69" s="86"/>
      <c r="G69" s="22" t="s">
        <v>23</v>
      </c>
      <c r="H69" s="22" t="s">
        <v>23</v>
      </c>
      <c r="I69" s="23" t="s">
        <v>23</v>
      </c>
      <c r="J69" s="22" t="s">
        <v>23</v>
      </c>
      <c r="K69" s="38"/>
      <c r="L69" s="22"/>
      <c r="M69" s="286" t="str">
        <f ca="1">IFERROR(OFFSET(M69,-1,,1,1)+0.1,OFFSET(M69,-1,-1,1,1)&amp;".1")</f>
        <v>1.1</v>
      </c>
      <c r="N69" s="23" t="s">
        <v>466</v>
      </c>
      <c r="O69" s="23"/>
      <c r="P69" s="23"/>
      <c r="Q69" s="144">
        <v>10</v>
      </c>
      <c r="R69" s="137"/>
      <c r="S69" s="169">
        <f>CEILING((IF(J69="Yes", 0, IF(H69="-",AA69,AA69+AA69*VLOOKUP(H69,BUFFERS_BY_TYPE,2,FALSE)))) +
   (IF(J69="Yes", 0, IF(H69="-",AA69,AA69+AA69*VLOOKUP(H69,BUFFERS_BY_TYPE,2,FALSE))))*VLOOKUP($S$5, SALES_CALL_SCALE_ARRAY, 2,FALSE),0.25)</f>
        <v>11</v>
      </c>
      <c r="T69" s="170"/>
      <c r="U69" s="24">
        <v>0.3</v>
      </c>
      <c r="V69" s="24">
        <v>0.5</v>
      </c>
      <c r="W69" s="24">
        <v>0.2</v>
      </c>
      <c r="X69" s="168">
        <v>1</v>
      </c>
      <c r="Y69" s="169">
        <f>CEILING((IF(P69=AS_DEV_EFFORT, DEV_EFFORT*Q69%,
                           IF(P69=AS_DURATION_EFFORT, (MANUAL_DURATION*5)*Q69%,
                                    (IF(Q69&lt;=1,X69,
                                          IF(SUM(U69:W69)=0,(Q69*X69),
                                               (((Q69*U69)*(X69+(X69*EXTRA_FOR_H)))+
                                               ((Q69*V69)*X69)+
                                               ((Q69*W69)*(X69-(X69*LESS_FOR_L)))
                                    )*IF(R69=0,1,R69))))))+Z69), 0.25)</f>
        <v>11</v>
      </c>
      <c r="Z69" s="25"/>
      <c r="AA69" s="169">
        <f>Y69+Y69*VLOOKUP(I69,EXTRAS_ARRAY,2,FALSE)</f>
        <v>11</v>
      </c>
      <c r="AB69" s="23"/>
      <c r="AC69" s="37"/>
      <c r="AD69" s="26" t="str">
        <f>IF(J69&lt;&gt;"Yes",
IF(S69&lt;=0,"Error: Effort value is not defined or is invalid.",
IF(AND(SUM(U69:W69)&gt;0,SUM(U69:W69)&lt;&gt;1),"Error: Complexity % distribution should sum to 100%.",
IF(AND(P69=AS_DEV_EFFORT,X69&lt;&gt;0),"Error: PDs should not be defined when defining as dev effort %.",
IF(AND(P69=AS_DURATION_EFFORT,X69&lt;&gt;0),"Error: PDs should not be defined when defining as duration effort %.","")))))</f>
        <v/>
      </c>
    </row>
    <row r="70" spans="1:30" ht="15.6" hidden="1" outlineLevel="2" x14ac:dyDescent="0.3">
      <c r="A70" s="93" t="s">
        <v>0</v>
      </c>
      <c r="B70" s="21"/>
      <c r="C70" s="85"/>
      <c r="D70" s="85"/>
      <c r="E70" s="85"/>
      <c r="F70" s="86"/>
      <c r="G70" s="22" t="s">
        <v>23</v>
      </c>
      <c r="H70" s="22" t="s">
        <v>23</v>
      </c>
      <c r="I70" s="23" t="s">
        <v>23</v>
      </c>
      <c r="J70" s="22" t="s">
        <v>23</v>
      </c>
      <c r="K70" s="38"/>
      <c r="L70" s="22"/>
      <c r="M70" s="286">
        <f ca="1">IFERROR(OFFSET(M70,-1,,1,1)+0.1,OFFSET(M70,-1,-1,1,1)&amp;".1")</f>
        <v>1.2000000000000002</v>
      </c>
      <c r="N70" s="23" t="s">
        <v>467</v>
      </c>
      <c r="O70" s="23"/>
      <c r="P70" s="23" t="s">
        <v>468</v>
      </c>
      <c r="Q70" s="144">
        <v>60</v>
      </c>
      <c r="R70" s="137"/>
      <c r="S70" s="169">
        <f>CEILING((IF(J70="Yes", 0, IF(H70="-",AA70,AA70+AA70*VLOOKUP(H70,BUFFERS_BY_TYPE,2,FALSE)))) +
   (IF(J70="Yes", 0, IF(H70="-",AA70,AA70+AA70*VLOOKUP(H70,BUFFERS_BY_TYPE,2,FALSE))))*VLOOKUP($S$5, SALES_CALL_SCALE_ARRAY, 2,FALSE),0.25)</f>
        <v>16.5</v>
      </c>
      <c r="T70" s="170"/>
      <c r="U70" s="24">
        <v>0.3</v>
      </c>
      <c r="V70" s="24">
        <v>0.5</v>
      </c>
      <c r="W70" s="24">
        <v>0.2</v>
      </c>
      <c r="X70" s="168">
        <v>0.25</v>
      </c>
      <c r="Y70" s="169">
        <f>CEILING((IF(P70=AS_DEV_EFFORT, DEV_EFFORT*Q70%,
                           IF(P70=AS_DURATION_EFFORT, (MANUAL_DURATION*5)*Q70%,
                                    (IF(Q70&lt;=1,X70,
                                          IF(SUM(U70:W70)=0,(Q70*X70),
                                               (((Q70*U70)*(X70+(X70*EXTRA_FOR_H)))+
                                               ((Q70*V70)*X70)+
                                               ((Q70*W70)*(X70-(X70*LESS_FOR_L)))
                                    )*IF(R70=0,1,R70))))))+Z70), 0.25)</f>
        <v>16.5</v>
      </c>
      <c r="Z70" s="25"/>
      <c r="AA70" s="169">
        <f>Y70+Y70*VLOOKUP(I70,EXTRAS_ARRAY,2,FALSE)</f>
        <v>16.5</v>
      </c>
      <c r="AB70" s="23"/>
      <c r="AC70" s="37"/>
      <c r="AD70" s="26" t="str">
        <f>IF(J70&lt;&gt;"Yes",
IF(S70&lt;=0,"Error: Effort value is not defined or is invalid.",
IF(AND(SUM(U70:W70)&gt;0,SUM(U70:W70)&lt;&gt;1),"Error: Complexity % distribution should sum to 100%.",
IF(AND(P70=AS_DEV_EFFORT,X70&lt;&gt;0),"Error: PDs should not be defined when defining as dev effort %.",
IF(AND(P70=AS_DURATION_EFFORT,X70&lt;&gt;0),"Error: PDs should not be defined when defining as duration effort %.","")))))</f>
        <v/>
      </c>
    </row>
    <row r="71" spans="1:30" s="11" customFormat="1" ht="7.5" hidden="1" customHeight="1" outlineLevel="2" x14ac:dyDescent="0.3">
      <c r="A71" s="93" t="s">
        <v>132</v>
      </c>
      <c r="B71" s="18"/>
      <c r="C71" s="78"/>
      <c r="D71" s="78"/>
      <c r="E71" s="78"/>
      <c r="F71" s="78"/>
      <c r="G71" s="10"/>
      <c r="H71" s="10"/>
      <c r="I71" s="10"/>
      <c r="J71" s="10"/>
      <c r="K71" s="10"/>
      <c r="L71" s="10"/>
      <c r="M71" s="287"/>
      <c r="N71" s="10"/>
      <c r="O71" s="10"/>
      <c r="P71" s="10"/>
      <c r="Q71" s="10"/>
      <c r="R71" s="10"/>
      <c r="S71" s="10"/>
      <c r="T71" s="18"/>
      <c r="U71" s="10"/>
      <c r="V71" s="10"/>
      <c r="W71" s="10"/>
      <c r="X71" s="18"/>
      <c r="Y71" s="10"/>
      <c r="Z71" s="10"/>
      <c r="AA71" s="10"/>
      <c r="AB71" s="60"/>
      <c r="AC71" s="60"/>
      <c r="AD71" s="12"/>
    </row>
    <row r="72" spans="1:30" s="17" customFormat="1" ht="15.6" hidden="1" outlineLevel="1" x14ac:dyDescent="0.3">
      <c r="A72" s="93" t="s">
        <v>100</v>
      </c>
      <c r="B72" s="21"/>
      <c r="C72" s="84"/>
      <c r="D72" s="84"/>
      <c r="E72" s="84"/>
      <c r="F72" s="83"/>
      <c r="G72" s="32"/>
      <c r="H72" s="32"/>
      <c r="I72" s="32"/>
      <c r="J72" s="32"/>
      <c r="K72" s="32"/>
      <c r="L72" s="20">
        <f ca="1">LOOKUP(1000,INDIRECT("L1:"&amp;CELL("address",INDIRECT("R[-1]C",FALSE))))+1</f>
        <v>2</v>
      </c>
      <c r="M72" s="301" t="s">
        <v>463</v>
      </c>
      <c r="N72" s="301"/>
      <c r="O72" s="5"/>
      <c r="P72" s="33"/>
      <c r="Q72" s="33"/>
      <c r="R72" s="33"/>
      <c r="S72" s="33"/>
      <c r="T72" s="167">
        <f>IF($S$6="Exclude", SUMIFS(S73:S77, J73:J77, "&lt;&gt;Yes", G73:G77, "&lt;&gt;Yes"), SUMIFS(S73:S77, J73:J77, "&lt;&gt;Yes"))</f>
        <v>27.5</v>
      </c>
      <c r="U72" s="33"/>
      <c r="V72" s="33"/>
      <c r="W72" s="33"/>
      <c r="X72" s="34"/>
      <c r="Y72" s="35"/>
      <c r="Z72" s="35"/>
      <c r="AA72" s="35"/>
      <c r="AB72" s="240"/>
      <c r="AC72" s="36"/>
      <c r="AD72" s="26" t="str">
        <f>IF(M72="", "Error: Task name cannot be empty.", "")</f>
        <v/>
      </c>
    </row>
    <row r="73" spans="1:30" s="15" customFormat="1" ht="1.5" hidden="1" customHeight="1" outlineLevel="2" x14ac:dyDescent="0.3">
      <c r="A73" s="93" t="s">
        <v>101</v>
      </c>
      <c r="B73" s="21"/>
      <c r="C73" s="84"/>
      <c r="D73" s="84"/>
      <c r="E73" s="84"/>
      <c r="F73" s="83"/>
      <c r="G73" s="32"/>
      <c r="H73" s="32"/>
      <c r="I73" s="32"/>
      <c r="J73" s="32"/>
      <c r="K73" s="32"/>
      <c r="L73" s="175">
        <f ca="1">L72</f>
        <v>2</v>
      </c>
      <c r="M73" s="176" t="s">
        <v>105</v>
      </c>
      <c r="N73" s="173"/>
      <c r="O73" s="174"/>
      <c r="P73" s="33"/>
      <c r="Q73" s="33"/>
      <c r="R73" s="33"/>
      <c r="S73" s="33"/>
      <c r="T73" s="167"/>
      <c r="U73" s="33"/>
      <c r="V73" s="33"/>
      <c r="W73" s="33"/>
      <c r="X73" s="34"/>
      <c r="Y73" s="35"/>
      <c r="Z73" s="35"/>
      <c r="AA73" s="35"/>
      <c r="AB73" s="36"/>
      <c r="AC73" s="36"/>
      <c r="AD73" s="26"/>
    </row>
    <row r="74" spans="1:30" ht="15.6" hidden="1" outlineLevel="2" x14ac:dyDescent="0.3">
      <c r="A74" s="93" t="s">
        <v>0</v>
      </c>
      <c r="B74" s="21"/>
      <c r="C74" s="85"/>
      <c r="D74" s="85"/>
      <c r="E74" s="85"/>
      <c r="F74" s="86"/>
      <c r="G74" s="22" t="s">
        <v>23</v>
      </c>
      <c r="H74" s="22" t="s">
        <v>23</v>
      </c>
      <c r="I74" s="23" t="s">
        <v>23</v>
      </c>
      <c r="J74" s="22" t="s">
        <v>23</v>
      </c>
      <c r="K74" s="38"/>
      <c r="L74" s="22"/>
      <c r="M74" s="286" t="str">
        <f ca="1">IFERROR(OFFSET(M74,-1,,1,1)+0.1,OFFSET(M74,-1,-1,1,1)&amp;".1")</f>
        <v>2.1</v>
      </c>
      <c r="N74" s="23" t="s">
        <v>585</v>
      </c>
      <c r="O74" s="23"/>
      <c r="P74" s="23"/>
      <c r="Q74" s="144">
        <v>4</v>
      </c>
      <c r="R74" s="137"/>
      <c r="S74" s="169">
        <f>CEILING((IF(J74="Yes", 0, IF(H74="-",AA74,AA74+AA74*VLOOKUP(H74,BUFFERS_BY_TYPE,2,FALSE)))) +
   (IF(J74="Yes", 0, IF(H74="-",AA74,AA74+AA74*VLOOKUP(H74,BUFFERS_BY_TYPE,2,FALSE))))*VLOOKUP($S$5, SALES_CALL_SCALE_ARRAY, 2,FALSE),0.25)</f>
        <v>10</v>
      </c>
      <c r="T74" s="170"/>
      <c r="U74" s="24">
        <v>0</v>
      </c>
      <c r="V74" s="24">
        <v>1</v>
      </c>
      <c r="W74" s="24">
        <v>0</v>
      </c>
      <c r="X74" s="168">
        <v>2.5</v>
      </c>
      <c r="Y74" s="169">
        <f>CEILING((IF(P74=AS_DEV_EFFORT, DEV_EFFORT*Q74%,
                           IF(P74=AS_DURATION_EFFORT, (MANUAL_DURATION*5)*Q74%,
                                    (IF(Q74&lt;=1,X74,
                                          IF(SUM(U74:W74)=0,(Q74*X74),
                                               (((Q74*U74)*(X74+(X74*EXTRA_FOR_H)))+
                                               ((Q74*V74)*X74)+
                                               ((Q74*W74)*(X74-(X74*LESS_FOR_L)))
                                    )*IF(R74=0,1,R74))))))+Z74), 0.25)</f>
        <v>10</v>
      </c>
      <c r="Z74" s="25"/>
      <c r="AA74" s="169">
        <f>Y74+Y74*VLOOKUP(I74,EXTRAS_ARRAY,2,FALSE)</f>
        <v>10</v>
      </c>
      <c r="AB74" s="23"/>
      <c r="AC74" s="37"/>
      <c r="AD74" s="26" t="str">
        <f>IF(J74&lt;&gt;"Yes",
IF(S74&lt;=0,"Error: Effort value is not defined or is invalid.",
IF(AND(SUM(U74:W74)&gt;0,SUM(U74:W74)&lt;&gt;1),"Error: Complexity % distribution should sum to 100%.",
IF(AND(P74=AS_DEV_EFFORT,X74&lt;&gt;0),"Error: PDs should not be defined when defining as dev effort %.",
IF(AND(P74=AS_DURATION_EFFORT,X74&lt;&gt;0),"Error: PDs should not be defined when defining as duration effort %.","")))))</f>
        <v/>
      </c>
    </row>
    <row r="75" spans="1:30" ht="15.6" hidden="1" outlineLevel="2" x14ac:dyDescent="0.3">
      <c r="A75" s="93" t="s">
        <v>0</v>
      </c>
      <c r="B75" s="21"/>
      <c r="C75" s="85"/>
      <c r="D75" s="85"/>
      <c r="E75" s="85"/>
      <c r="F75" s="86"/>
      <c r="G75" s="22" t="s">
        <v>23</v>
      </c>
      <c r="H75" s="22" t="s">
        <v>23</v>
      </c>
      <c r="I75" s="23" t="s">
        <v>23</v>
      </c>
      <c r="J75" s="22" t="s">
        <v>23</v>
      </c>
      <c r="K75" s="38"/>
      <c r="L75" s="22"/>
      <c r="M75" s="286">
        <f ca="1">IFERROR(OFFSET(M75,-1,,1,1)+0.1,OFFSET(M75,-1,-1,1,1)&amp;".1")</f>
        <v>2.2000000000000002</v>
      </c>
      <c r="N75" s="23" t="s">
        <v>586</v>
      </c>
      <c r="O75" s="23"/>
      <c r="P75" s="23"/>
      <c r="Q75" s="144">
        <v>4</v>
      </c>
      <c r="R75" s="137"/>
      <c r="S75" s="169">
        <f>CEILING((IF(J75="Yes", 0, IF(H75="-",AA75,AA75+AA75*VLOOKUP(H75,BUFFERS_BY_TYPE,2,FALSE)))) +
   (IF(J75="Yes", 0, IF(H75="-",AA75,AA75+AA75*VLOOKUP(H75,BUFFERS_BY_TYPE,2,FALSE))))*VLOOKUP($S$5, SALES_CALL_SCALE_ARRAY, 2,FALSE),0.25)</f>
        <v>10</v>
      </c>
      <c r="T75" s="170"/>
      <c r="U75" s="24">
        <v>0</v>
      </c>
      <c r="V75" s="24">
        <v>1</v>
      </c>
      <c r="W75" s="24">
        <v>0</v>
      </c>
      <c r="X75" s="168">
        <v>2.5</v>
      </c>
      <c r="Y75" s="169">
        <f>CEILING((IF(P75=AS_DEV_EFFORT, DEV_EFFORT*Q75%,
                           IF(P75=AS_DURATION_EFFORT, (MANUAL_DURATION*5)*Q75%,
                                    (IF(Q75&lt;=1,X75,
                                          IF(SUM(U75:W75)=0,(Q75*X75),
                                               (((Q75*U75)*(X75+(X75*EXTRA_FOR_H)))+
                                               ((Q75*V75)*X75)+
                                               ((Q75*W75)*(X75-(X75*LESS_FOR_L)))
                                    )*IF(R75=0,1,R75))))))+Z75), 0.25)</f>
        <v>10</v>
      </c>
      <c r="Z75" s="25"/>
      <c r="AA75" s="169">
        <f>Y75+Y75*VLOOKUP(I75,EXTRAS_ARRAY,2,FALSE)</f>
        <v>10</v>
      </c>
      <c r="AB75" s="23"/>
      <c r="AC75" s="37"/>
      <c r="AD75" s="26" t="str">
        <f>IF(J75&lt;&gt;"Yes",
IF(S75&lt;=0,"Error: Effort value is not defined or is invalid.",
IF(AND(SUM(U75:W75)&gt;0,SUM(U75:W75)&lt;&gt;1),"Error: Complexity % distribution should sum to 100%.",
IF(AND(P75=AS_DEV_EFFORT,X75&lt;&gt;0),"Error: PDs should not be defined when defining as dev effort %.",
IF(AND(P75=AS_DURATION_EFFORT,X75&lt;&gt;0),"Error: PDs should not be defined when defining as duration effort %.","")))))</f>
        <v/>
      </c>
    </row>
    <row r="76" spans="1:30" ht="15.6" hidden="1" outlineLevel="2" x14ac:dyDescent="0.3">
      <c r="A76" s="93" t="s">
        <v>0</v>
      </c>
      <c r="B76" s="21"/>
      <c r="C76" s="85"/>
      <c r="D76" s="85"/>
      <c r="E76" s="85"/>
      <c r="F76" s="86"/>
      <c r="G76" s="22" t="s">
        <v>23</v>
      </c>
      <c r="H76" s="22" t="s">
        <v>23</v>
      </c>
      <c r="I76" s="23" t="s">
        <v>23</v>
      </c>
      <c r="J76" s="22" t="s">
        <v>23</v>
      </c>
      <c r="K76" s="38"/>
      <c r="L76" s="22"/>
      <c r="M76" s="286">
        <f ca="1">IFERROR(OFFSET(M76,-1,,1,1)+0.1,OFFSET(M76,-1,-1,1,1)&amp;".1")</f>
        <v>2.3000000000000003</v>
      </c>
      <c r="N76" s="23" t="s">
        <v>587</v>
      </c>
      <c r="O76" s="23"/>
      <c r="P76" s="23"/>
      <c r="Q76" s="144">
        <v>3</v>
      </c>
      <c r="R76" s="137"/>
      <c r="S76" s="169">
        <f>CEILING((IF(J76="Yes", 0, IF(H76="-",AA76,AA76+AA76*VLOOKUP(H76,BUFFERS_BY_TYPE,2,FALSE)))) +
   (IF(J76="Yes", 0, IF(H76="-",AA76,AA76+AA76*VLOOKUP(H76,BUFFERS_BY_TYPE,2,FALSE))))*VLOOKUP($S$5, SALES_CALL_SCALE_ARRAY, 2,FALSE),0.25)</f>
        <v>7.5</v>
      </c>
      <c r="T76" s="170"/>
      <c r="U76" s="24">
        <v>0</v>
      </c>
      <c r="V76" s="24">
        <v>1</v>
      </c>
      <c r="W76" s="24">
        <v>0</v>
      </c>
      <c r="X76" s="168">
        <v>2.5</v>
      </c>
      <c r="Y76" s="169">
        <f>CEILING((IF(P76=AS_DEV_EFFORT, DEV_EFFORT*Q76%,
                           IF(P76=AS_DURATION_EFFORT, (MANUAL_DURATION*5)*Q76%,
                                    (IF(Q76&lt;=1,X76,
                                          IF(SUM(U76:W76)=0,(Q76*X76),
                                               (((Q76*U76)*(X76+(X76*EXTRA_FOR_H)))+
                                               ((Q76*V76)*X76)+
                                               ((Q76*W76)*(X76-(X76*LESS_FOR_L)))
                                    )*IF(R76=0,1,R76))))))+Z76), 0.25)</f>
        <v>7.5</v>
      </c>
      <c r="Z76" s="25"/>
      <c r="AA76" s="169">
        <f>Y76+Y76*VLOOKUP(I76,EXTRAS_ARRAY,2,FALSE)</f>
        <v>7.5</v>
      </c>
      <c r="AB76" s="23"/>
      <c r="AC76" s="37"/>
      <c r="AD76" s="26" t="str">
        <f>IF(J76&lt;&gt;"Yes",
IF(S76&lt;=0,"Error: Effort value is not defined or is invalid.",
IF(AND(SUM(U76:W76)&gt;0,SUM(U76:W76)&lt;&gt;1),"Error: Complexity % distribution should sum to 100%.",
IF(AND(P76=AS_DEV_EFFORT,X76&lt;&gt;0),"Error: PDs should not be defined when defining as dev effort %.",
IF(AND(P76=AS_DURATION_EFFORT,X76&lt;&gt;0),"Error: PDs should not be defined when defining as duration effort %.","")))))</f>
        <v/>
      </c>
    </row>
    <row r="77" spans="1:30" s="11" customFormat="1" ht="7.5" hidden="1" customHeight="1" outlineLevel="2" x14ac:dyDescent="0.3">
      <c r="A77" s="93" t="s">
        <v>132</v>
      </c>
      <c r="B77" s="18"/>
      <c r="C77" s="78"/>
      <c r="D77" s="78"/>
      <c r="E77" s="78"/>
      <c r="F77" s="78"/>
      <c r="G77" s="10"/>
      <c r="H77" s="10"/>
      <c r="I77" s="10"/>
      <c r="J77" s="10"/>
      <c r="K77" s="10"/>
      <c r="L77" s="10"/>
      <c r="M77" s="287"/>
      <c r="N77" s="10"/>
      <c r="O77" s="10"/>
      <c r="P77" s="10"/>
      <c r="Q77" s="10"/>
      <c r="R77" s="10"/>
      <c r="S77" s="10"/>
      <c r="T77" s="18"/>
      <c r="U77" s="10"/>
      <c r="V77" s="10"/>
      <c r="W77" s="10"/>
      <c r="X77" s="18"/>
      <c r="Y77" s="10"/>
      <c r="Z77" s="10"/>
      <c r="AA77" s="10"/>
      <c r="AB77" s="60"/>
      <c r="AC77" s="60"/>
      <c r="AD77" s="12"/>
    </row>
    <row r="78" spans="1:30" s="17" customFormat="1" ht="15.6" hidden="1" outlineLevel="1" x14ac:dyDescent="0.3">
      <c r="A78" s="93" t="s">
        <v>100</v>
      </c>
      <c r="B78" s="21"/>
      <c r="C78" s="84"/>
      <c r="D78" s="84"/>
      <c r="E78" s="84"/>
      <c r="F78" s="83"/>
      <c r="G78" s="32"/>
      <c r="H78" s="32"/>
      <c r="I78" s="32"/>
      <c r="J78" s="32"/>
      <c r="K78" s="32"/>
      <c r="L78" s="20">
        <f ca="1">LOOKUP(1000,INDIRECT("L1:"&amp;CELL("address",INDIRECT("R[-1]C",FALSE))))+1</f>
        <v>3</v>
      </c>
      <c r="M78" s="301" t="s">
        <v>473</v>
      </c>
      <c r="N78" s="301"/>
      <c r="O78" s="5"/>
      <c r="P78" s="33"/>
      <c r="Q78" s="33"/>
      <c r="R78" s="33"/>
      <c r="S78" s="33"/>
      <c r="T78" s="167">
        <f>IF($S$6="Exclude", SUMIFS(S79:S84, J79:J84, "&lt;&gt;Yes", G79:G84, "&lt;&gt;Yes"), SUMIFS(S79:S84, J79:J84, "&lt;&gt;Yes"))</f>
        <v>21</v>
      </c>
      <c r="U78" s="33"/>
      <c r="V78" s="33"/>
      <c r="W78" s="33"/>
      <c r="X78" s="34"/>
      <c r="Y78" s="35"/>
      <c r="Z78" s="35"/>
      <c r="AA78" s="35"/>
      <c r="AB78" s="240"/>
      <c r="AC78" s="36"/>
      <c r="AD78" s="26" t="str">
        <f>IF(M78="", "Error: Task name cannot be empty.", "")</f>
        <v/>
      </c>
    </row>
    <row r="79" spans="1:30" s="15" customFormat="1" ht="1.5" hidden="1" customHeight="1" outlineLevel="2" x14ac:dyDescent="0.3">
      <c r="A79" s="93" t="s">
        <v>101</v>
      </c>
      <c r="B79" s="21"/>
      <c r="C79" s="84"/>
      <c r="D79" s="84"/>
      <c r="E79" s="84"/>
      <c r="F79" s="83"/>
      <c r="G79" s="32"/>
      <c r="H79" s="32"/>
      <c r="I79" s="32"/>
      <c r="J79" s="32"/>
      <c r="K79" s="32"/>
      <c r="L79" s="175">
        <f ca="1">L78</f>
        <v>3</v>
      </c>
      <c r="M79" s="176" t="s">
        <v>105</v>
      </c>
      <c r="N79" s="173"/>
      <c r="O79" s="174"/>
      <c r="P79" s="33"/>
      <c r="Q79" s="33"/>
      <c r="R79" s="33"/>
      <c r="S79" s="33"/>
      <c r="T79" s="167"/>
      <c r="U79" s="33"/>
      <c r="V79" s="33"/>
      <c r="W79" s="33"/>
      <c r="X79" s="34"/>
      <c r="Y79" s="35"/>
      <c r="Z79" s="35"/>
      <c r="AA79" s="35"/>
      <c r="AB79" s="36"/>
      <c r="AC79" s="36"/>
      <c r="AD79" s="26"/>
    </row>
    <row r="80" spans="1:30" ht="43.2" hidden="1" outlineLevel="2" x14ac:dyDescent="0.3">
      <c r="A80" s="93" t="s">
        <v>0</v>
      </c>
      <c r="B80" s="21"/>
      <c r="C80" s="85"/>
      <c r="D80" s="85"/>
      <c r="E80" s="85"/>
      <c r="F80" s="86"/>
      <c r="G80" s="22" t="s">
        <v>23</v>
      </c>
      <c r="H80" s="22" t="s">
        <v>23</v>
      </c>
      <c r="I80" s="23" t="s">
        <v>23</v>
      </c>
      <c r="J80" s="22" t="s">
        <v>23</v>
      </c>
      <c r="K80" s="38"/>
      <c r="L80" s="22"/>
      <c r="M80" s="286" t="str">
        <f ca="1">IFERROR(OFFSET(M80,-1,,1,1)+0.1,OFFSET(M80,-1,-1,1,1)&amp;".1")</f>
        <v>3.1</v>
      </c>
      <c r="N80" s="23" t="s">
        <v>469</v>
      </c>
      <c r="O80" s="23"/>
      <c r="P80" s="23"/>
      <c r="Q80" s="144">
        <v>5</v>
      </c>
      <c r="R80" s="137"/>
      <c r="S80" s="169">
        <f>CEILING((IF(J80="Yes", 0, IF(H80="-",AA80,AA80+AA80*VLOOKUP(H80,BUFFERS_BY_TYPE,2,FALSE)))) +
   (IF(J80="Yes", 0, IF(H80="-",AA80,AA80+AA80*VLOOKUP(H80,BUFFERS_BY_TYPE,2,FALSE))))*VLOOKUP($S$5, SALES_CALL_SCALE_ARRAY, 2,FALSE),0.25)</f>
        <v>5</v>
      </c>
      <c r="T80" s="170"/>
      <c r="U80" s="24">
        <v>0</v>
      </c>
      <c r="V80" s="24">
        <v>1</v>
      </c>
      <c r="W80" s="24">
        <v>0</v>
      </c>
      <c r="X80" s="168">
        <v>1</v>
      </c>
      <c r="Y80" s="169">
        <f>CEILING((IF(P80=AS_DEV_EFFORT, DEV_EFFORT*Q80%,
                           IF(P80=AS_DURATION_EFFORT, (MANUAL_DURATION*5)*Q80%,
                                    (IF(Q80&lt;=1,X80,
                                          IF(SUM(U80:W80)=0,(Q80*X80),
                                               (((Q80*U80)*(X80+(X80*EXTRA_FOR_H)))+
                                               ((Q80*V80)*X80)+
                                               ((Q80*W80)*(X80-(X80*LESS_FOR_L)))
                                    )*IF(R80=0,1,R80))))))+Z80), 0.25)</f>
        <v>5</v>
      </c>
      <c r="Z80" s="25"/>
      <c r="AA80" s="169">
        <f>Y80+Y80*VLOOKUP(I80,EXTRAS_ARRAY,2,FALSE)</f>
        <v>5</v>
      </c>
      <c r="AB80" s="23"/>
      <c r="AC80" s="37"/>
      <c r="AD80" s="26" t="str">
        <f>IF(J80&lt;&gt;"Yes",
IF(S80&lt;=0,"Error: Effort value is not defined or is invalid.",
IF(AND(SUM(U80:W80)&gt;0,SUM(U80:W80)&lt;&gt;1),"Error: Complexity % distribution should sum to 100%.",
IF(AND(P80=AS_DEV_EFFORT,X80&lt;&gt;0),"Error: PDs should not be defined when defining as dev effort %.",
IF(AND(P80=AS_DURATION_EFFORT,X80&lt;&gt;0),"Error: PDs should not be defined when defining as duration effort %.","")))))</f>
        <v/>
      </c>
    </row>
    <row r="81" spans="1:30" ht="43.2" hidden="1" outlineLevel="2" x14ac:dyDescent="0.3">
      <c r="A81" s="93" t="s">
        <v>0</v>
      </c>
      <c r="B81" s="21"/>
      <c r="C81" s="85"/>
      <c r="D81" s="85"/>
      <c r="E81" s="85"/>
      <c r="F81" s="86"/>
      <c r="G81" s="22" t="s">
        <v>23</v>
      </c>
      <c r="H81" s="22" t="s">
        <v>23</v>
      </c>
      <c r="I81" s="23" t="s">
        <v>23</v>
      </c>
      <c r="J81" s="22" t="s">
        <v>23</v>
      </c>
      <c r="K81" s="38"/>
      <c r="L81" s="22"/>
      <c r="M81" s="286">
        <f ca="1">IFERROR(OFFSET(M81,-1,,1,1)+0.1,OFFSET(M81,-1,-1,1,1)&amp;".1")</f>
        <v>3.2</v>
      </c>
      <c r="N81" s="23" t="s">
        <v>470</v>
      </c>
      <c r="O81" s="23"/>
      <c r="P81" s="23"/>
      <c r="Q81" s="144">
        <v>5</v>
      </c>
      <c r="R81" s="137"/>
      <c r="S81" s="169">
        <f>CEILING((IF(J81="Yes", 0, IF(H81="-",AA81,AA81+AA81*VLOOKUP(H81,BUFFERS_BY_TYPE,2,FALSE)))) +
   (IF(J81="Yes", 0, IF(H81="-",AA81,AA81+AA81*VLOOKUP(H81,BUFFERS_BY_TYPE,2,FALSE))))*VLOOKUP($S$5, SALES_CALL_SCALE_ARRAY, 2,FALSE),0.25)</f>
        <v>5</v>
      </c>
      <c r="T81" s="170"/>
      <c r="U81" s="24">
        <v>0</v>
      </c>
      <c r="V81" s="24">
        <v>1</v>
      </c>
      <c r="W81" s="24">
        <v>0</v>
      </c>
      <c r="X81" s="168">
        <v>1</v>
      </c>
      <c r="Y81" s="169">
        <f>CEILING((IF(P81=AS_DEV_EFFORT, DEV_EFFORT*Q81%,
                           IF(P81=AS_DURATION_EFFORT, (MANUAL_DURATION*5)*Q81%,
                                    (IF(Q81&lt;=1,X81,
                                          IF(SUM(U81:W81)=0,(Q81*X81),
                                               (((Q81*U81)*(X81+(X81*EXTRA_FOR_H)))+
                                               ((Q81*V81)*X81)+
                                               ((Q81*W81)*(X81-(X81*LESS_FOR_L)))
                                    )*IF(R81=0,1,R81))))))+Z81), 0.25)</f>
        <v>5</v>
      </c>
      <c r="Z81" s="25"/>
      <c r="AA81" s="169">
        <f>Y81+Y81*VLOOKUP(I81,EXTRAS_ARRAY,2,FALSE)</f>
        <v>5</v>
      </c>
      <c r="AB81" s="23"/>
      <c r="AC81" s="37"/>
      <c r="AD81" s="26" t="str">
        <f>IF(J81&lt;&gt;"Yes",
IF(S81&lt;=0,"Error: Effort value is not defined or is invalid.",
IF(AND(SUM(U81:W81)&gt;0,SUM(U81:W81)&lt;&gt;1),"Error: Complexity % distribution should sum to 100%.",
IF(AND(P81=AS_DEV_EFFORT,X81&lt;&gt;0),"Error: PDs should not be defined when defining as dev effort %.",
IF(AND(P81=AS_DURATION_EFFORT,X81&lt;&gt;0),"Error: PDs should not be defined when defining as duration effort %.","")))))</f>
        <v/>
      </c>
    </row>
    <row r="82" spans="1:30" ht="43.2" hidden="1" outlineLevel="2" x14ac:dyDescent="0.3">
      <c r="A82" s="93" t="s">
        <v>0</v>
      </c>
      <c r="B82" s="21"/>
      <c r="C82" s="85"/>
      <c r="D82" s="85"/>
      <c r="E82" s="85"/>
      <c r="F82" s="86"/>
      <c r="G82" s="22" t="s">
        <v>23</v>
      </c>
      <c r="H82" s="22" t="s">
        <v>23</v>
      </c>
      <c r="I82" s="23" t="s">
        <v>23</v>
      </c>
      <c r="J82" s="22" t="s">
        <v>23</v>
      </c>
      <c r="K82" s="38"/>
      <c r="L82" s="22"/>
      <c r="M82" s="286">
        <f ca="1">IFERROR(OFFSET(M82,-1,,1,1)+0.1,OFFSET(M82,-1,-1,1,1)&amp;".1")</f>
        <v>3.3000000000000003</v>
      </c>
      <c r="N82" s="23" t="s">
        <v>471</v>
      </c>
      <c r="O82" s="23"/>
      <c r="P82" s="23" t="s">
        <v>468</v>
      </c>
      <c r="Q82" s="144">
        <v>50</v>
      </c>
      <c r="R82" s="137"/>
      <c r="S82" s="169">
        <f>CEILING((IF(J82="Yes", 0, IF(H82="-",AA82,AA82+AA82*VLOOKUP(H82,BUFFERS_BY_TYPE,2,FALSE)))) +
   (IF(J82="Yes", 0, IF(H82="-",AA82,AA82+AA82*VLOOKUP(H82,BUFFERS_BY_TYPE,2,FALSE))))*VLOOKUP($S$5, SALES_CALL_SCALE_ARRAY, 2,FALSE),0.25)</f>
        <v>10</v>
      </c>
      <c r="T82" s="170"/>
      <c r="U82" s="24">
        <v>0</v>
      </c>
      <c r="V82" s="24">
        <v>1</v>
      </c>
      <c r="W82" s="24">
        <v>0</v>
      </c>
      <c r="X82" s="168">
        <v>0.2</v>
      </c>
      <c r="Y82" s="169">
        <f>CEILING((IF(P82=AS_DEV_EFFORT, DEV_EFFORT*Q82%,
                           IF(P82=AS_DURATION_EFFORT, (MANUAL_DURATION*5)*Q82%,
                                    (IF(Q82&lt;=1,X82,
                                          IF(SUM(U82:W82)=0,(Q82*X82),
                                               (((Q82*U82)*(X82+(X82*EXTRA_FOR_H)))+
                                               ((Q82*V82)*X82)+
                                               ((Q82*W82)*(X82-(X82*LESS_FOR_L)))
                                    )*IF(R82=0,1,R82))))))+Z82), 0.25)</f>
        <v>10</v>
      </c>
      <c r="Z82" s="25"/>
      <c r="AA82" s="169">
        <f>Y82+Y82*VLOOKUP(I82,EXTRAS_ARRAY,2,FALSE)</f>
        <v>10</v>
      </c>
      <c r="AB82" s="23"/>
      <c r="AC82" s="37"/>
      <c r="AD82" s="26" t="str">
        <f>IF(J82&lt;&gt;"Yes",
IF(S82&lt;=0,"Error: Effort value is not defined or is invalid.",
IF(AND(SUM(U82:W82)&gt;0,SUM(U82:W82)&lt;&gt;1),"Error: Complexity % distribution should sum to 100%.",
IF(AND(P82=AS_DEV_EFFORT,X82&lt;&gt;0),"Error: PDs should not be defined when defining as dev effort %.",
IF(AND(P82=AS_DURATION_EFFORT,X82&lt;&gt;0),"Error: PDs should not be defined when defining as duration effort %.","")))))</f>
        <v/>
      </c>
    </row>
    <row r="83" spans="1:30" ht="43.2" hidden="1" outlineLevel="2" x14ac:dyDescent="0.3">
      <c r="A83" s="93" t="s">
        <v>0</v>
      </c>
      <c r="B83" s="21"/>
      <c r="C83" s="85"/>
      <c r="D83" s="85"/>
      <c r="E83" s="85"/>
      <c r="F83" s="86"/>
      <c r="G83" s="22" t="s">
        <v>23</v>
      </c>
      <c r="H83" s="22" t="s">
        <v>23</v>
      </c>
      <c r="I83" s="23" t="s">
        <v>23</v>
      </c>
      <c r="J83" s="22" t="s">
        <v>23</v>
      </c>
      <c r="K83" s="38"/>
      <c r="L83" s="22"/>
      <c r="M83" s="286">
        <f ca="1">IFERROR(OFFSET(M83,-1,,1,1)+0.1,OFFSET(M83,-1,-1,1,1)&amp;".1")</f>
        <v>3.4000000000000004</v>
      </c>
      <c r="N83" s="23" t="s">
        <v>472</v>
      </c>
      <c r="O83" s="23"/>
      <c r="P83" s="23"/>
      <c r="Q83" s="144">
        <v>1</v>
      </c>
      <c r="R83" s="137"/>
      <c r="S83" s="169">
        <f>CEILING((IF(J83="Yes", 0, IF(H83="-",AA83,AA83+AA83*VLOOKUP(H83,BUFFERS_BY_TYPE,2,FALSE)))) +
   (IF(J83="Yes", 0, IF(H83="-",AA83,AA83+AA83*VLOOKUP(H83,BUFFERS_BY_TYPE,2,FALSE))))*VLOOKUP($S$5, SALES_CALL_SCALE_ARRAY, 2,FALSE),0.25)</f>
        <v>1</v>
      </c>
      <c r="T83" s="170"/>
      <c r="U83" s="24">
        <v>0</v>
      </c>
      <c r="V83" s="24">
        <v>1</v>
      </c>
      <c r="W83" s="24">
        <v>0</v>
      </c>
      <c r="X83" s="168">
        <v>1</v>
      </c>
      <c r="Y83" s="169">
        <f>CEILING((IF(P83=AS_DEV_EFFORT, DEV_EFFORT*Q83%,
                           IF(P83=AS_DURATION_EFFORT, (MANUAL_DURATION*5)*Q83%,
                                    (IF(Q83&lt;=1,X83,
                                          IF(SUM(U83:W83)=0,(Q83*X83),
                                               (((Q83*U83)*(X83+(X83*EXTRA_FOR_H)))+
                                               ((Q83*V83)*X83)+
                                               ((Q83*W83)*(X83-(X83*LESS_FOR_L)))
                                    )*IF(R83=0,1,R83))))))+Z83), 0.25)</f>
        <v>1</v>
      </c>
      <c r="Z83" s="25"/>
      <c r="AA83" s="169">
        <f>Y83+Y83*VLOOKUP(I83,EXTRAS_ARRAY,2,FALSE)</f>
        <v>1</v>
      </c>
      <c r="AB83" s="23"/>
      <c r="AC83" s="37"/>
      <c r="AD83" s="26" t="str">
        <f>IF(J83&lt;&gt;"Yes",
IF(S83&lt;=0,"Error: Effort value is not defined or is invalid.",
IF(AND(SUM(U83:W83)&gt;0,SUM(U83:W83)&lt;&gt;1),"Error: Complexity % distribution should sum to 100%.",
IF(AND(P83=AS_DEV_EFFORT,X83&lt;&gt;0),"Error: PDs should not be defined when defining as dev effort %.",
IF(AND(P83=AS_DURATION_EFFORT,X83&lt;&gt;0),"Error: PDs should not be defined when defining as duration effort %.","")))))</f>
        <v/>
      </c>
    </row>
    <row r="84" spans="1:30" s="11" customFormat="1" ht="7.5" hidden="1" customHeight="1" outlineLevel="2" x14ac:dyDescent="0.3">
      <c r="A84" s="93" t="s">
        <v>132</v>
      </c>
      <c r="B84" s="18"/>
      <c r="C84" s="78"/>
      <c r="D84" s="78"/>
      <c r="E84" s="78"/>
      <c r="F84" s="78"/>
      <c r="G84" s="10"/>
      <c r="H84" s="10"/>
      <c r="I84" s="10"/>
      <c r="J84" s="10"/>
      <c r="K84" s="10"/>
      <c r="L84" s="10"/>
      <c r="M84" s="287"/>
      <c r="N84" s="10"/>
      <c r="O84" s="10"/>
      <c r="P84" s="10"/>
      <c r="Q84" s="10"/>
      <c r="R84" s="10"/>
      <c r="S84" s="10"/>
      <c r="T84" s="18"/>
      <c r="U84" s="10"/>
      <c r="V84" s="10"/>
      <c r="W84" s="10"/>
      <c r="X84" s="18"/>
      <c r="Y84" s="10"/>
      <c r="Z84" s="10"/>
      <c r="AA84" s="10"/>
      <c r="AB84" s="60"/>
      <c r="AC84" s="60"/>
      <c r="AD84" s="12"/>
    </row>
    <row r="85" spans="1:30" s="17" customFormat="1" ht="15.6" hidden="1" outlineLevel="1" x14ac:dyDescent="0.3">
      <c r="A85" s="93" t="s">
        <v>100</v>
      </c>
      <c r="B85" s="21"/>
      <c r="C85" s="84"/>
      <c r="D85" s="84"/>
      <c r="E85" s="84"/>
      <c r="F85" s="83"/>
      <c r="G85" s="32"/>
      <c r="H85" s="32"/>
      <c r="I85" s="32"/>
      <c r="J85" s="32"/>
      <c r="K85" s="32"/>
      <c r="L85" s="20">
        <f ca="1">LOOKUP(1000,INDIRECT("L1:"&amp;CELL("address",INDIRECT("R[-1]C",FALSE))))+1</f>
        <v>4</v>
      </c>
      <c r="M85" s="301" t="s">
        <v>464</v>
      </c>
      <c r="N85" s="301"/>
      <c r="O85" s="5"/>
      <c r="P85" s="33"/>
      <c r="Q85" s="33"/>
      <c r="R85" s="33"/>
      <c r="S85" s="33"/>
      <c r="T85" s="167">
        <f>IF($S$6="Exclude", SUMIFS(S86:S94, J86:J94, "&lt;&gt;Yes", G86:G94, "&lt;&gt;Yes"), SUMIFS(S86:S94, J86:J94, "&lt;&gt;Yes"))</f>
        <v>127</v>
      </c>
      <c r="U85" s="33"/>
      <c r="V85" s="33"/>
      <c r="W85" s="33"/>
      <c r="X85" s="34"/>
      <c r="Y85" s="35"/>
      <c r="Z85" s="35"/>
      <c r="AA85" s="35"/>
      <c r="AB85" s="240"/>
      <c r="AC85" s="36"/>
      <c r="AD85" s="26" t="str">
        <f>IF(M85="", "Error: Task name cannot be empty.", "")</f>
        <v/>
      </c>
    </row>
    <row r="86" spans="1:30" s="15" customFormat="1" ht="1.5" hidden="1" customHeight="1" outlineLevel="2" x14ac:dyDescent="0.3">
      <c r="A86" s="93" t="s">
        <v>101</v>
      </c>
      <c r="B86" s="21"/>
      <c r="C86" s="84"/>
      <c r="D86" s="84"/>
      <c r="E86" s="84"/>
      <c r="F86" s="83"/>
      <c r="G86" s="32"/>
      <c r="H86" s="32"/>
      <c r="I86" s="32"/>
      <c r="J86" s="32"/>
      <c r="K86" s="32"/>
      <c r="L86" s="175">
        <f ca="1">L85</f>
        <v>4</v>
      </c>
      <c r="M86" s="176" t="s">
        <v>105</v>
      </c>
      <c r="N86" s="173"/>
      <c r="O86" s="174"/>
      <c r="P86" s="33"/>
      <c r="Q86" s="33"/>
      <c r="R86" s="33"/>
      <c r="S86" s="33"/>
      <c r="T86" s="167"/>
      <c r="U86" s="33"/>
      <c r="V86" s="33"/>
      <c r="W86" s="33"/>
      <c r="X86" s="34"/>
      <c r="Y86" s="35"/>
      <c r="Z86" s="35"/>
      <c r="AA86" s="35"/>
      <c r="AB86" s="36"/>
      <c r="AC86" s="36"/>
      <c r="AD86" s="26"/>
    </row>
    <row r="87" spans="1:30" ht="43.2" hidden="1" outlineLevel="2" x14ac:dyDescent="0.3">
      <c r="A87" s="93" t="s">
        <v>0</v>
      </c>
      <c r="B87" s="21"/>
      <c r="C87" s="85"/>
      <c r="D87" s="85"/>
      <c r="E87" s="85"/>
      <c r="F87" s="86"/>
      <c r="G87" s="22" t="s">
        <v>23</v>
      </c>
      <c r="H87" s="22" t="s">
        <v>23</v>
      </c>
      <c r="I87" s="23" t="s">
        <v>23</v>
      </c>
      <c r="J87" s="22" t="s">
        <v>23</v>
      </c>
      <c r="K87" s="38"/>
      <c r="L87" s="22"/>
      <c r="M87" s="286" t="str">
        <f t="shared" ref="M87:M93" ca="1" si="5">IFERROR(OFFSET(M87,-1,,1,1)+0.1,OFFSET(M87,-1,-1,1,1)&amp;".1")</f>
        <v>4.1</v>
      </c>
      <c r="N87" s="23" t="s">
        <v>588</v>
      </c>
      <c r="O87" s="23"/>
      <c r="P87" s="23"/>
      <c r="Q87" s="144">
        <v>5</v>
      </c>
      <c r="R87" s="137">
        <v>7</v>
      </c>
      <c r="S87" s="169">
        <f t="shared" ref="S87:S93" si="6">CEILING((IF(J87="Yes", 0, IF(H87="-",AA87,AA87+AA87*VLOOKUP(H87,BUFFERS_BY_TYPE,2,FALSE)))) +
   (IF(J87="Yes", 0, IF(H87="-",AA87,AA87+AA87*VLOOKUP(H87,BUFFERS_BY_TYPE,2,FALSE))))*VLOOKUP($S$5, SALES_CALL_SCALE_ARRAY, 2,FALSE),0.25)</f>
        <v>70</v>
      </c>
      <c r="T87" s="170"/>
      <c r="U87" s="24">
        <v>0</v>
      </c>
      <c r="V87" s="24">
        <v>1</v>
      </c>
      <c r="W87" s="24">
        <v>0</v>
      </c>
      <c r="X87" s="168">
        <v>2</v>
      </c>
      <c r="Y87" s="169">
        <f t="shared" ref="Y87:Y93" si="7">CEILING((IF(P87=AS_DEV_EFFORT, DEV_EFFORT*Q87%,
                           IF(P87=AS_DURATION_EFFORT, (MANUAL_DURATION*5)*Q87%,
                                    (IF(Q87&lt;=1,X87,
                                          IF(SUM(U87:W87)=0,(Q87*X87),
                                               (((Q87*U87)*(X87+(X87*EXTRA_FOR_H)))+
                                               ((Q87*V87)*X87)+
                                               ((Q87*W87)*(X87-(X87*LESS_FOR_L)))
                                    )*IF(R87=0,1,R87))))))+Z87), 0.25)</f>
        <v>70</v>
      </c>
      <c r="Z87" s="25"/>
      <c r="AA87" s="169">
        <f t="shared" ref="AA87:AA93" si="8">Y87+Y87*VLOOKUP(I87,EXTRAS_ARRAY,2,FALSE)</f>
        <v>70</v>
      </c>
      <c r="AB87" s="23"/>
      <c r="AC87" s="37"/>
      <c r="AD87" s="26" t="str">
        <f t="shared" ref="AD87:AD93" si="9">IF(J87&lt;&gt;"Yes",
IF(S87&lt;=0,"Error: Effort value is not defined or is invalid.",
IF(AND(SUM(U87:W87)&gt;0,SUM(U87:W87)&lt;&gt;1),"Error: Complexity % distribution should sum to 100%.",
IF(AND(P87=AS_DEV_EFFORT,X87&lt;&gt;0),"Error: PDs should not be defined when defining as dev effort %.",
IF(AND(P87=AS_DURATION_EFFORT,X87&lt;&gt;0),"Error: PDs should not be defined when defining as duration effort %.","")))))</f>
        <v/>
      </c>
    </row>
    <row r="88" spans="1:30" ht="43.2" hidden="1" outlineLevel="2" x14ac:dyDescent="0.3">
      <c r="A88" s="93" t="s">
        <v>0</v>
      </c>
      <c r="B88" s="21"/>
      <c r="C88" s="85"/>
      <c r="D88" s="85"/>
      <c r="E88" s="85"/>
      <c r="F88" s="86"/>
      <c r="G88" s="22" t="s">
        <v>23</v>
      </c>
      <c r="H88" s="22" t="s">
        <v>23</v>
      </c>
      <c r="I88" s="23" t="s">
        <v>23</v>
      </c>
      <c r="J88" s="22" t="s">
        <v>23</v>
      </c>
      <c r="K88" s="38"/>
      <c r="L88" s="22"/>
      <c r="M88" s="286">
        <f t="shared" ca="1" si="5"/>
        <v>4.1999999999999993</v>
      </c>
      <c r="N88" s="23" t="s">
        <v>474</v>
      </c>
      <c r="O88" s="23"/>
      <c r="P88" s="23"/>
      <c r="Q88" s="144">
        <v>3</v>
      </c>
      <c r="R88" s="137">
        <v>3</v>
      </c>
      <c r="S88" s="169">
        <f t="shared" si="6"/>
        <v>18</v>
      </c>
      <c r="T88" s="170"/>
      <c r="U88" s="24">
        <v>0</v>
      </c>
      <c r="V88" s="24">
        <v>1</v>
      </c>
      <c r="W88" s="24">
        <v>0</v>
      </c>
      <c r="X88" s="168">
        <v>2</v>
      </c>
      <c r="Y88" s="169">
        <f t="shared" si="7"/>
        <v>18</v>
      </c>
      <c r="Z88" s="25"/>
      <c r="AA88" s="169">
        <f t="shared" si="8"/>
        <v>18</v>
      </c>
      <c r="AB88" s="23"/>
      <c r="AC88" s="37"/>
      <c r="AD88" s="26" t="str">
        <f t="shared" si="9"/>
        <v/>
      </c>
    </row>
    <row r="89" spans="1:30" ht="28.8" hidden="1" outlineLevel="2" x14ac:dyDescent="0.3">
      <c r="A89" s="93" t="s">
        <v>0</v>
      </c>
      <c r="B89" s="21"/>
      <c r="C89" s="85"/>
      <c r="D89" s="85"/>
      <c r="E89" s="85"/>
      <c r="F89" s="86"/>
      <c r="G89" s="22" t="s">
        <v>23</v>
      </c>
      <c r="H89" s="22" t="s">
        <v>23</v>
      </c>
      <c r="I89" s="23" t="s">
        <v>23</v>
      </c>
      <c r="J89" s="22" t="s">
        <v>23</v>
      </c>
      <c r="K89" s="38"/>
      <c r="L89" s="22"/>
      <c r="M89" s="286">
        <f t="shared" ca="1" si="5"/>
        <v>4.2999999999999989</v>
      </c>
      <c r="N89" s="23" t="s">
        <v>475</v>
      </c>
      <c r="O89" s="23"/>
      <c r="P89" s="23"/>
      <c r="Q89" s="144">
        <v>5</v>
      </c>
      <c r="R89" s="137">
        <v>2</v>
      </c>
      <c r="S89" s="169">
        <f t="shared" si="6"/>
        <v>10</v>
      </c>
      <c r="T89" s="170"/>
      <c r="U89" s="24">
        <v>0</v>
      </c>
      <c r="V89" s="24">
        <v>1</v>
      </c>
      <c r="W89" s="24">
        <v>0</v>
      </c>
      <c r="X89" s="168">
        <v>1</v>
      </c>
      <c r="Y89" s="169">
        <f t="shared" si="7"/>
        <v>10</v>
      </c>
      <c r="Z89" s="25"/>
      <c r="AA89" s="169">
        <f t="shared" si="8"/>
        <v>10</v>
      </c>
      <c r="AB89" s="23"/>
      <c r="AC89" s="37"/>
      <c r="AD89" s="26" t="str">
        <f t="shared" si="9"/>
        <v/>
      </c>
    </row>
    <row r="90" spans="1:30" ht="15.6" hidden="1" outlineLevel="2" x14ac:dyDescent="0.3">
      <c r="A90" s="93" t="s">
        <v>0</v>
      </c>
      <c r="B90" s="21"/>
      <c r="C90" s="85"/>
      <c r="D90" s="85"/>
      <c r="E90" s="85"/>
      <c r="F90" s="86"/>
      <c r="G90" s="22" t="s">
        <v>23</v>
      </c>
      <c r="H90" s="22" t="s">
        <v>23</v>
      </c>
      <c r="I90" s="23" t="s">
        <v>23</v>
      </c>
      <c r="J90" s="22" t="s">
        <v>23</v>
      </c>
      <c r="K90" s="38"/>
      <c r="L90" s="22"/>
      <c r="M90" s="286">
        <f t="shared" ca="1" si="5"/>
        <v>4.3999999999999986</v>
      </c>
      <c r="N90" s="23" t="s">
        <v>589</v>
      </c>
      <c r="O90" s="23"/>
      <c r="P90" s="23"/>
      <c r="Q90" s="144">
        <v>2</v>
      </c>
      <c r="R90" s="137"/>
      <c r="S90" s="169">
        <f t="shared" si="6"/>
        <v>2</v>
      </c>
      <c r="T90" s="170"/>
      <c r="U90" s="24">
        <v>0</v>
      </c>
      <c r="V90" s="24">
        <v>1</v>
      </c>
      <c r="W90" s="24">
        <v>0</v>
      </c>
      <c r="X90" s="168">
        <v>1</v>
      </c>
      <c r="Y90" s="169">
        <f t="shared" si="7"/>
        <v>2</v>
      </c>
      <c r="Z90" s="25"/>
      <c r="AA90" s="169">
        <f t="shared" si="8"/>
        <v>2</v>
      </c>
      <c r="AB90" s="23"/>
      <c r="AC90" s="37"/>
      <c r="AD90" s="26" t="str">
        <f t="shared" si="9"/>
        <v/>
      </c>
    </row>
    <row r="91" spans="1:30" ht="28.8" hidden="1" outlineLevel="2" x14ac:dyDescent="0.3">
      <c r="A91" s="93" t="s">
        <v>0</v>
      </c>
      <c r="B91" s="21"/>
      <c r="C91" s="85"/>
      <c r="D91" s="85"/>
      <c r="E91" s="85"/>
      <c r="F91" s="86"/>
      <c r="G91" s="22" t="s">
        <v>23</v>
      </c>
      <c r="H91" s="22" t="s">
        <v>23</v>
      </c>
      <c r="I91" s="23" t="s">
        <v>23</v>
      </c>
      <c r="J91" s="22" t="s">
        <v>23</v>
      </c>
      <c r="K91" s="38"/>
      <c r="L91" s="22"/>
      <c r="M91" s="286">
        <f t="shared" ca="1" si="5"/>
        <v>4.4999999999999982</v>
      </c>
      <c r="N91" s="23" t="s">
        <v>476</v>
      </c>
      <c r="O91" s="23"/>
      <c r="P91" s="23"/>
      <c r="Q91" s="144">
        <v>2</v>
      </c>
      <c r="R91" s="137"/>
      <c r="S91" s="169">
        <f t="shared" si="6"/>
        <v>10</v>
      </c>
      <c r="T91" s="170"/>
      <c r="U91" s="24">
        <v>0</v>
      </c>
      <c r="V91" s="24">
        <v>1</v>
      </c>
      <c r="W91" s="24">
        <v>0</v>
      </c>
      <c r="X91" s="168">
        <v>4</v>
      </c>
      <c r="Y91" s="169">
        <f t="shared" si="7"/>
        <v>10</v>
      </c>
      <c r="Z91" s="25">
        <v>2</v>
      </c>
      <c r="AA91" s="169">
        <f t="shared" si="8"/>
        <v>10</v>
      </c>
      <c r="AB91" s="23" t="s">
        <v>590</v>
      </c>
      <c r="AC91" s="37"/>
      <c r="AD91" s="26" t="str">
        <f t="shared" si="9"/>
        <v/>
      </c>
    </row>
    <row r="92" spans="1:30" ht="15.6" hidden="1" outlineLevel="2" x14ac:dyDescent="0.3">
      <c r="A92" s="93" t="s">
        <v>0</v>
      </c>
      <c r="B92" s="21"/>
      <c r="C92" s="85"/>
      <c r="D92" s="85"/>
      <c r="E92" s="85"/>
      <c r="F92" s="86"/>
      <c r="G92" s="22" t="s">
        <v>23</v>
      </c>
      <c r="H92" s="22" t="s">
        <v>23</v>
      </c>
      <c r="I92" s="23" t="s">
        <v>23</v>
      </c>
      <c r="J92" s="22" t="s">
        <v>23</v>
      </c>
      <c r="K92" s="38"/>
      <c r="L92" s="22"/>
      <c r="M92" s="286">
        <f t="shared" ca="1" si="5"/>
        <v>4.5999999999999979</v>
      </c>
      <c r="N92" s="23" t="s">
        <v>477</v>
      </c>
      <c r="O92" s="23"/>
      <c r="P92" s="23"/>
      <c r="Q92" s="144">
        <v>1</v>
      </c>
      <c r="R92" s="137"/>
      <c r="S92" s="169">
        <f t="shared" si="6"/>
        <v>7</v>
      </c>
      <c r="T92" s="170"/>
      <c r="U92" s="24">
        <v>0</v>
      </c>
      <c r="V92" s="24">
        <v>1</v>
      </c>
      <c r="W92" s="24">
        <v>0</v>
      </c>
      <c r="X92" s="168">
        <v>8</v>
      </c>
      <c r="Y92" s="169">
        <f t="shared" si="7"/>
        <v>7</v>
      </c>
      <c r="Z92" s="25">
        <v>-1</v>
      </c>
      <c r="AA92" s="169">
        <f t="shared" si="8"/>
        <v>7</v>
      </c>
      <c r="AB92" s="23"/>
      <c r="AC92" s="37"/>
      <c r="AD92" s="26" t="str">
        <f t="shared" si="9"/>
        <v/>
      </c>
    </row>
    <row r="93" spans="1:30" ht="15.6" hidden="1" outlineLevel="2" x14ac:dyDescent="0.3">
      <c r="A93" s="93" t="s">
        <v>0</v>
      </c>
      <c r="B93" s="21"/>
      <c r="C93" s="85"/>
      <c r="D93" s="85"/>
      <c r="E93" s="85"/>
      <c r="F93" s="86"/>
      <c r="G93" s="22" t="s">
        <v>23</v>
      </c>
      <c r="H93" s="22" t="s">
        <v>23</v>
      </c>
      <c r="I93" s="23" t="s">
        <v>23</v>
      </c>
      <c r="J93" s="22" t="s">
        <v>23</v>
      </c>
      <c r="K93" s="38"/>
      <c r="L93" s="22"/>
      <c r="M93" s="286">
        <f t="shared" ca="1" si="5"/>
        <v>4.6999999999999975</v>
      </c>
      <c r="N93" s="23" t="s">
        <v>478</v>
      </c>
      <c r="O93" s="23"/>
      <c r="P93" s="23"/>
      <c r="Q93" s="144">
        <v>2</v>
      </c>
      <c r="R93" s="137"/>
      <c r="S93" s="169">
        <f t="shared" si="6"/>
        <v>10</v>
      </c>
      <c r="T93" s="170"/>
      <c r="U93" s="24">
        <v>0</v>
      </c>
      <c r="V93" s="24">
        <v>1</v>
      </c>
      <c r="W93" s="24">
        <v>0</v>
      </c>
      <c r="X93" s="168">
        <v>5</v>
      </c>
      <c r="Y93" s="169">
        <f t="shared" si="7"/>
        <v>10</v>
      </c>
      <c r="Z93" s="25"/>
      <c r="AA93" s="169">
        <f t="shared" si="8"/>
        <v>10</v>
      </c>
      <c r="AB93" s="23" t="s">
        <v>591</v>
      </c>
      <c r="AC93" s="37"/>
      <c r="AD93" s="26" t="str">
        <f t="shared" si="9"/>
        <v/>
      </c>
    </row>
    <row r="94" spans="1:30" s="11" customFormat="1" ht="7.5" hidden="1" customHeight="1" outlineLevel="2" x14ac:dyDescent="0.3">
      <c r="A94" s="93" t="s">
        <v>132</v>
      </c>
      <c r="B94" s="18"/>
      <c r="C94" s="78"/>
      <c r="D94" s="78"/>
      <c r="E94" s="78"/>
      <c r="F94" s="78"/>
      <c r="G94" s="10"/>
      <c r="H94" s="10"/>
      <c r="I94" s="10"/>
      <c r="J94" s="10"/>
      <c r="K94" s="10"/>
      <c r="L94" s="10"/>
      <c r="M94" s="287"/>
      <c r="N94" s="10"/>
      <c r="O94" s="10"/>
      <c r="P94" s="10"/>
      <c r="Q94" s="10"/>
      <c r="R94" s="10"/>
      <c r="S94" s="10"/>
      <c r="T94" s="18"/>
      <c r="U94" s="10"/>
      <c r="V94" s="10"/>
      <c r="W94" s="10"/>
      <c r="X94" s="18"/>
      <c r="Y94" s="10"/>
      <c r="Z94" s="10"/>
      <c r="AA94" s="10"/>
      <c r="AB94" s="60"/>
      <c r="AC94" s="60"/>
      <c r="AD94" s="12"/>
    </row>
    <row r="95" spans="1:30" s="11" customFormat="1" ht="3" hidden="1" customHeight="1" outlineLevel="1" x14ac:dyDescent="0.3">
      <c r="A95" s="93" t="s">
        <v>102</v>
      </c>
      <c r="B95" s="10"/>
      <c r="C95" s="78"/>
      <c r="D95" s="78"/>
      <c r="E95" s="78"/>
      <c r="F95" s="78"/>
      <c r="G95" s="59"/>
      <c r="H95" s="59"/>
      <c r="I95" s="59"/>
      <c r="J95" s="59"/>
      <c r="K95" s="59"/>
      <c r="L95" s="61"/>
      <c r="M95" s="288"/>
      <c r="N95" s="62"/>
      <c r="O95" s="62"/>
      <c r="P95" s="61"/>
      <c r="Q95" s="61"/>
      <c r="R95" s="61"/>
      <c r="S95" s="61"/>
      <c r="T95" s="61"/>
      <c r="U95" s="61"/>
      <c r="V95" s="61"/>
      <c r="W95" s="61"/>
      <c r="X95" s="61"/>
      <c r="Y95" s="61"/>
      <c r="Z95" s="61"/>
      <c r="AA95" s="61"/>
      <c r="AB95" s="62"/>
      <c r="AC95" s="62"/>
      <c r="AD95" s="12"/>
    </row>
    <row r="96" spans="1:30" s="17" customFormat="1" ht="18" collapsed="1" x14ac:dyDescent="0.3">
      <c r="A96" s="93" t="s">
        <v>98</v>
      </c>
      <c r="B96" s="14"/>
      <c r="C96" s="79"/>
      <c r="D96" s="79"/>
      <c r="E96" s="79"/>
      <c r="F96" s="78"/>
      <c r="G96" s="55"/>
      <c r="H96" s="55"/>
      <c r="I96" s="55"/>
      <c r="J96" s="55"/>
      <c r="K96" s="55"/>
      <c r="L96" s="55" t="s">
        <v>69</v>
      </c>
      <c r="M96" s="284" t="s">
        <v>73</v>
      </c>
      <c r="N96" s="56"/>
      <c r="O96" s="57"/>
      <c r="P96" s="58"/>
      <c r="Q96" s="58"/>
      <c r="R96" s="58"/>
      <c r="S96" s="331">
        <f>CEILING(SUMIF(J97:J188, "&lt;&gt;Yes", T97:T188),1)</f>
        <v>682</v>
      </c>
      <c r="T96" s="331"/>
      <c r="U96" s="58"/>
      <c r="V96" s="58"/>
      <c r="W96" s="58"/>
      <c r="X96" s="181"/>
      <c r="Y96" s="181"/>
      <c r="Z96" s="58"/>
      <c r="AA96" s="181"/>
      <c r="AB96" s="58"/>
      <c r="AC96" s="58"/>
      <c r="AD96" s="16"/>
    </row>
    <row r="97" spans="1:30" s="11" customFormat="1" ht="3" hidden="1" customHeight="1" outlineLevel="1" x14ac:dyDescent="0.3">
      <c r="A97" s="93" t="s">
        <v>99</v>
      </c>
      <c r="B97" s="18"/>
      <c r="C97" s="78"/>
      <c r="D97" s="78"/>
      <c r="E97" s="78"/>
      <c r="F97" s="78"/>
      <c r="G97" s="28"/>
      <c r="H97" s="28"/>
      <c r="I97" s="28"/>
      <c r="J97" s="28"/>
      <c r="K97" s="28"/>
      <c r="L97" s="29">
        <v>0</v>
      </c>
      <c r="M97" s="285"/>
      <c r="N97" s="28"/>
      <c r="O97" s="28"/>
      <c r="P97" s="28"/>
      <c r="Q97" s="28"/>
      <c r="R97" s="28"/>
      <c r="S97" s="28"/>
      <c r="T97" s="30"/>
      <c r="U97" s="28"/>
      <c r="V97" s="28"/>
      <c r="W97" s="28"/>
      <c r="X97" s="30"/>
      <c r="Y97" s="28"/>
      <c r="Z97" s="28"/>
      <c r="AA97" s="28"/>
      <c r="AB97" s="31"/>
      <c r="AC97" s="31"/>
      <c r="AD97" s="12"/>
    </row>
    <row r="98" spans="1:30" s="17" customFormat="1" ht="15.6" hidden="1" outlineLevel="1" x14ac:dyDescent="0.3">
      <c r="A98" s="93" t="s">
        <v>100</v>
      </c>
      <c r="B98" s="21"/>
      <c r="C98" s="84"/>
      <c r="D98" s="84"/>
      <c r="E98" s="84"/>
      <c r="F98" s="83"/>
      <c r="G98" s="32"/>
      <c r="H98" s="32"/>
      <c r="I98" s="32"/>
      <c r="J98" s="32"/>
      <c r="K98" s="32"/>
      <c r="L98" s="20">
        <f ca="1">LOOKUP(1000,INDIRECT("L1:"&amp;CELL("address",INDIRECT("R[-1]C",FALSE))))+1</f>
        <v>1</v>
      </c>
      <c r="M98" s="301" t="s">
        <v>448</v>
      </c>
      <c r="N98" s="301"/>
      <c r="O98" s="5"/>
      <c r="P98" s="33"/>
      <c r="Q98" s="33"/>
      <c r="R98" s="33"/>
      <c r="S98" s="33"/>
      <c r="T98" s="167">
        <f>IF($S$6="Exclude", SUMIFS(S99:S104, J99:J104, "&lt;&gt;Yes", G99:G104, "&lt;&gt;Yes"), SUMIFS(S99:S104, J99:J104, "&lt;&gt;Yes"))</f>
        <v>70</v>
      </c>
      <c r="U98" s="33"/>
      <c r="V98" s="33"/>
      <c r="W98" s="33"/>
      <c r="X98" s="34"/>
      <c r="Y98" s="35"/>
      <c r="Z98" s="35"/>
      <c r="AA98" s="35"/>
      <c r="AB98" s="240"/>
      <c r="AC98" s="36"/>
      <c r="AD98" s="26" t="str">
        <f>IF(M98="", "Error: Task name cannot be empty.", "")</f>
        <v/>
      </c>
    </row>
    <row r="99" spans="1:30" s="15" customFormat="1" ht="1.5" hidden="1" customHeight="1" outlineLevel="2" x14ac:dyDescent="0.3">
      <c r="A99" s="93" t="s">
        <v>101</v>
      </c>
      <c r="B99" s="21"/>
      <c r="C99" s="84"/>
      <c r="D99" s="84"/>
      <c r="E99" s="84"/>
      <c r="F99" s="83"/>
      <c r="G99" s="32"/>
      <c r="H99" s="32"/>
      <c r="I99" s="32"/>
      <c r="J99" s="32"/>
      <c r="K99" s="32"/>
      <c r="L99" s="175">
        <f ca="1">L98</f>
        <v>1</v>
      </c>
      <c r="M99" s="176" t="s">
        <v>105</v>
      </c>
      <c r="N99" s="173"/>
      <c r="O99" s="174"/>
      <c r="P99" s="33"/>
      <c r="Q99" s="33"/>
      <c r="R99" s="33"/>
      <c r="S99" s="33"/>
      <c r="T99" s="167"/>
      <c r="U99" s="33"/>
      <c r="V99" s="33"/>
      <c r="W99" s="33"/>
      <c r="X99" s="34"/>
      <c r="Y99" s="35"/>
      <c r="Z99" s="35"/>
      <c r="AA99" s="35"/>
      <c r="AB99" s="36"/>
      <c r="AC99" s="36"/>
      <c r="AD99" s="26"/>
    </row>
    <row r="100" spans="1:30" ht="15.6" hidden="1" outlineLevel="2" x14ac:dyDescent="0.3">
      <c r="A100" s="93" t="s">
        <v>0</v>
      </c>
      <c r="B100" s="21"/>
      <c r="C100" s="85"/>
      <c r="D100" s="85"/>
      <c r="E100" s="85"/>
      <c r="F100" s="86"/>
      <c r="G100" s="22" t="s">
        <v>23</v>
      </c>
      <c r="H100" s="22" t="s">
        <v>23</v>
      </c>
      <c r="I100" s="23" t="s">
        <v>23</v>
      </c>
      <c r="J100" s="22" t="s">
        <v>23</v>
      </c>
      <c r="K100" s="38"/>
      <c r="L100" s="22"/>
      <c r="M100" s="286" t="str">
        <f ca="1">IFERROR(OFFSET(M100,-1,,1,1)+0.1,OFFSET(M100,-1,-1,1,1)&amp;".1")</f>
        <v>1.1</v>
      </c>
      <c r="N100" s="23" t="s">
        <v>486</v>
      </c>
      <c r="O100" s="23"/>
      <c r="P100" s="23"/>
      <c r="Q100" s="144">
        <v>2</v>
      </c>
      <c r="R100" s="137">
        <v>10</v>
      </c>
      <c r="S100" s="169">
        <f>CEILING((IF(J100="Yes", 0, IF(H100="-",AA100,AA100+AA100*VLOOKUP(H100,BUFFERS_BY_TYPE,2,FALSE)))) +
   (IF(J100="Yes", 0, IF(H100="-",AA100,AA100+AA100*VLOOKUP(H100,BUFFERS_BY_TYPE,2,FALSE))))*VLOOKUP($S$5, SALES_CALL_SCALE_ARRAY, 2,FALSE),0.25)</f>
        <v>20</v>
      </c>
      <c r="T100" s="170"/>
      <c r="U100" s="24">
        <v>0</v>
      </c>
      <c r="V100" s="24">
        <v>1</v>
      </c>
      <c r="W100" s="24">
        <v>0</v>
      </c>
      <c r="X100" s="168">
        <v>1</v>
      </c>
      <c r="Y100" s="169">
        <f>CEILING((IF(P100=AS_DEV_EFFORT, DEV_EFFORT*Q100%,
                           IF(P100=AS_DURATION_EFFORT, (MANUAL_DURATION*5)*Q100%,
                                    (IF(Q100&lt;=1,X100,
                                          IF(SUM(U100:W100)=0,(Q100*X100),
                                               (((Q100*U100)*(X100+(X100*EXTRA_FOR_H)))+
                                               ((Q100*V100)*X100)+
                                               ((Q100*W100)*(X100-(X100*LESS_FOR_L)))
                                    )*IF(R100=0,1,R100))))))+Z100), 0.25)</f>
        <v>20</v>
      </c>
      <c r="Z100" s="25"/>
      <c r="AA100" s="169">
        <f>Y100+Y100*VLOOKUP(I100,EXTRAS_ARRAY,2,FALSE)</f>
        <v>20</v>
      </c>
      <c r="AB100" s="23"/>
      <c r="AC100" s="37"/>
      <c r="AD100" s="26" t="str">
        <f>IF(J100&lt;&gt;"Yes",
IF(S100&lt;=0,"Error: Effort value is not defined or is invalid.",
IF(AND(SUM(U100:W100)&gt;0,SUM(U100:W100)&lt;&gt;1),"Error: Complexity % distribution should sum to 100%.",
IF(AND(P100=AS_DEV_EFFORT,X100&lt;&gt;0),"Error: PDs should not be defined when defining as dev effort %.",
IF(AND(P100=AS_DURATION_EFFORT,X100&lt;&gt;0),"Error: PDs should not be defined when defining as duration effort %.","")))))</f>
        <v/>
      </c>
    </row>
    <row r="101" spans="1:30" ht="15.6" hidden="1" outlineLevel="2" x14ac:dyDescent="0.3">
      <c r="A101" s="93" t="s">
        <v>0</v>
      </c>
      <c r="B101" s="21"/>
      <c r="C101" s="85"/>
      <c r="D101" s="85"/>
      <c r="E101" s="85"/>
      <c r="F101" s="86"/>
      <c r="G101" s="22" t="s">
        <v>23</v>
      </c>
      <c r="H101" s="22" t="s">
        <v>23</v>
      </c>
      <c r="I101" s="23" t="s">
        <v>23</v>
      </c>
      <c r="J101" s="22" t="s">
        <v>23</v>
      </c>
      <c r="K101" s="38"/>
      <c r="L101" s="22"/>
      <c r="M101" s="286">
        <f ca="1">IFERROR(OFFSET(M101,-1,,1,1)+0.1,OFFSET(M101,-1,-1,1,1)&amp;".1")</f>
        <v>1.2000000000000002</v>
      </c>
      <c r="N101" s="23" t="s">
        <v>487</v>
      </c>
      <c r="O101" s="23"/>
      <c r="P101" s="23"/>
      <c r="Q101" s="144">
        <v>2</v>
      </c>
      <c r="R101" s="137">
        <v>10</v>
      </c>
      <c r="S101" s="169">
        <f>CEILING((IF(J101="Yes", 0, IF(H101="-",AA101,AA101+AA101*VLOOKUP(H101,BUFFERS_BY_TYPE,2,FALSE)))) +
   (IF(J101="Yes", 0, IF(H101="-",AA101,AA101+AA101*VLOOKUP(H101,BUFFERS_BY_TYPE,2,FALSE))))*VLOOKUP($S$5, SALES_CALL_SCALE_ARRAY, 2,FALSE),0.25)</f>
        <v>20</v>
      </c>
      <c r="T101" s="170"/>
      <c r="U101" s="24">
        <v>0</v>
      </c>
      <c r="V101" s="24">
        <v>1</v>
      </c>
      <c r="W101" s="24">
        <v>0</v>
      </c>
      <c r="X101" s="168">
        <v>1</v>
      </c>
      <c r="Y101" s="169">
        <f>CEILING((IF(P101=AS_DEV_EFFORT, DEV_EFFORT*Q101%,
                           IF(P101=AS_DURATION_EFFORT, (MANUAL_DURATION*5)*Q101%,
                                    (IF(Q101&lt;=1,X101,
                                          IF(SUM(U101:W101)=0,(Q101*X101),
                                               (((Q101*U101)*(X101+(X101*EXTRA_FOR_H)))+
                                               ((Q101*V101)*X101)+
                                               ((Q101*W101)*(X101-(X101*LESS_FOR_L)))
                                    )*IF(R101=0,1,R101))))))+Z101), 0.25)</f>
        <v>20</v>
      </c>
      <c r="Z101" s="25"/>
      <c r="AA101" s="169">
        <f>Y101+Y101*VLOOKUP(I101,EXTRAS_ARRAY,2,FALSE)</f>
        <v>20</v>
      </c>
      <c r="AB101" s="23"/>
      <c r="AC101" s="37"/>
      <c r="AD101" s="26" t="str">
        <f>IF(J101&lt;&gt;"Yes",
IF(S101&lt;=0,"Error: Effort value is not defined or is invalid.",
IF(AND(SUM(U101:W101)&gt;0,SUM(U101:W101)&lt;&gt;1),"Error: Complexity % distribution should sum to 100%.",
IF(AND(P101=AS_DEV_EFFORT,X101&lt;&gt;0),"Error: PDs should not be defined when defining as dev effort %.",
IF(AND(P101=AS_DURATION_EFFORT,X101&lt;&gt;0),"Error: PDs should not be defined when defining as duration effort %.","")))))</f>
        <v/>
      </c>
    </row>
    <row r="102" spans="1:30" ht="28.8" hidden="1" outlineLevel="2" x14ac:dyDescent="0.3">
      <c r="A102" s="93" t="s">
        <v>0</v>
      </c>
      <c r="B102" s="21"/>
      <c r="C102" s="85"/>
      <c r="D102" s="85"/>
      <c r="E102" s="85"/>
      <c r="F102" s="86"/>
      <c r="G102" s="22" t="s">
        <v>23</v>
      </c>
      <c r="H102" s="22" t="s">
        <v>23</v>
      </c>
      <c r="I102" s="23" t="s">
        <v>23</v>
      </c>
      <c r="J102" s="22" t="s">
        <v>23</v>
      </c>
      <c r="K102" s="38"/>
      <c r="L102" s="22"/>
      <c r="M102" s="286">
        <f ca="1">IFERROR(OFFSET(M102,-1,,1,1)+0.1,OFFSET(M102,-1,-1,1,1)&amp;".1")</f>
        <v>1.3000000000000003</v>
      </c>
      <c r="N102" s="23" t="s">
        <v>488</v>
      </c>
      <c r="O102" s="23"/>
      <c r="P102" s="23"/>
      <c r="Q102" s="144">
        <v>2</v>
      </c>
      <c r="R102" s="137">
        <v>10</v>
      </c>
      <c r="S102" s="169">
        <f>CEILING((IF(J102="Yes", 0, IF(H102="-",AA102,AA102+AA102*VLOOKUP(H102,BUFFERS_BY_TYPE,2,FALSE)))) +
   (IF(J102="Yes", 0, IF(H102="-",AA102,AA102+AA102*VLOOKUP(H102,BUFFERS_BY_TYPE,2,FALSE))))*VLOOKUP($S$5, SALES_CALL_SCALE_ARRAY, 2,FALSE),0.25)</f>
        <v>20</v>
      </c>
      <c r="T102" s="170"/>
      <c r="U102" s="24">
        <v>0</v>
      </c>
      <c r="V102" s="24">
        <v>1</v>
      </c>
      <c r="W102" s="24">
        <v>0</v>
      </c>
      <c r="X102" s="168">
        <v>1</v>
      </c>
      <c r="Y102" s="169">
        <f>CEILING((IF(P102=AS_DEV_EFFORT, DEV_EFFORT*Q102%,
                           IF(P102=AS_DURATION_EFFORT, (MANUAL_DURATION*5)*Q102%,
                                    (IF(Q102&lt;=1,X102,
                                          IF(SUM(U102:W102)=0,(Q102*X102),
                                               (((Q102*U102)*(X102+(X102*EXTRA_FOR_H)))+
                                               ((Q102*V102)*X102)+
                                               ((Q102*W102)*(X102-(X102*LESS_FOR_L)))
                                    )*IF(R102=0,1,R102))))))+Z102), 0.25)</f>
        <v>20</v>
      </c>
      <c r="Z102" s="25"/>
      <c r="AA102" s="169">
        <f>Y102+Y102*VLOOKUP(I102,EXTRAS_ARRAY,2,FALSE)</f>
        <v>20</v>
      </c>
      <c r="AB102" s="23"/>
      <c r="AC102" s="37"/>
      <c r="AD102" s="26" t="str">
        <f>IF(J102&lt;&gt;"Yes",
IF(S102&lt;=0,"Error: Effort value is not defined or is invalid.",
IF(AND(SUM(U102:W102)&gt;0,SUM(U102:W102)&lt;&gt;1),"Error: Complexity % distribution should sum to 100%.",
IF(AND(P102=AS_DEV_EFFORT,X102&lt;&gt;0),"Error: PDs should not be defined when defining as dev effort %.",
IF(AND(P102=AS_DURATION_EFFORT,X102&lt;&gt;0),"Error: PDs should not be defined when defining as duration effort %.","")))))</f>
        <v/>
      </c>
    </row>
    <row r="103" spans="1:30" ht="15.6" hidden="1" outlineLevel="2" x14ac:dyDescent="0.3">
      <c r="A103" s="93" t="s">
        <v>0</v>
      </c>
      <c r="B103" s="21"/>
      <c r="C103" s="85"/>
      <c r="D103" s="85"/>
      <c r="E103" s="85"/>
      <c r="F103" s="86"/>
      <c r="G103" s="22" t="s">
        <v>23</v>
      </c>
      <c r="H103" s="22" t="s">
        <v>23</v>
      </c>
      <c r="I103" s="23" t="s">
        <v>23</v>
      </c>
      <c r="J103" s="22" t="s">
        <v>23</v>
      </c>
      <c r="K103" s="38"/>
      <c r="L103" s="22"/>
      <c r="M103" s="286">
        <f ca="1">IFERROR(OFFSET(M103,-1,,1,1)+0.1,OFFSET(M103,-1,-1,1,1)&amp;".1")</f>
        <v>1.4000000000000004</v>
      </c>
      <c r="N103" s="23" t="s">
        <v>489</v>
      </c>
      <c r="O103" s="23"/>
      <c r="P103" s="23"/>
      <c r="Q103" s="144">
        <v>2</v>
      </c>
      <c r="R103" s="137">
        <v>10</v>
      </c>
      <c r="S103" s="169">
        <f>CEILING((IF(J103="Yes", 0, IF(H103="-",AA103,AA103+AA103*VLOOKUP(H103,BUFFERS_BY_TYPE,2,FALSE)))) +
   (IF(J103="Yes", 0, IF(H103="-",AA103,AA103+AA103*VLOOKUP(H103,BUFFERS_BY_TYPE,2,FALSE))))*VLOOKUP($S$5, SALES_CALL_SCALE_ARRAY, 2,FALSE),0.25)</f>
        <v>10</v>
      </c>
      <c r="T103" s="170"/>
      <c r="U103" s="24">
        <v>0</v>
      </c>
      <c r="V103" s="24">
        <v>1</v>
      </c>
      <c r="W103" s="24">
        <v>0</v>
      </c>
      <c r="X103" s="168">
        <v>0.5</v>
      </c>
      <c r="Y103" s="169">
        <f>CEILING((IF(P103=AS_DEV_EFFORT, DEV_EFFORT*Q103%,
                           IF(P103=AS_DURATION_EFFORT, (MANUAL_DURATION*5)*Q103%,
                                    (IF(Q103&lt;=1,X103,
                                          IF(SUM(U103:W103)=0,(Q103*X103),
                                               (((Q103*U103)*(X103+(X103*EXTRA_FOR_H)))+
                                               ((Q103*V103)*X103)+
                                               ((Q103*W103)*(X103-(X103*LESS_FOR_L)))
                                    )*IF(R103=0,1,R103))))))+Z103), 0.25)</f>
        <v>10</v>
      </c>
      <c r="Z103" s="25"/>
      <c r="AA103" s="169">
        <f>Y103+Y103*VLOOKUP(I103,EXTRAS_ARRAY,2,FALSE)</f>
        <v>10</v>
      </c>
      <c r="AB103" s="23"/>
      <c r="AC103" s="37"/>
      <c r="AD103" s="26" t="str">
        <f>IF(J103&lt;&gt;"Yes",
IF(S103&lt;=0,"Error: Effort value is not defined or is invalid.",
IF(AND(SUM(U103:W103)&gt;0,SUM(U103:W103)&lt;&gt;1),"Error: Complexity % distribution should sum to 100%.",
IF(AND(P103=AS_DEV_EFFORT,X103&lt;&gt;0),"Error: PDs should not be defined when defining as dev effort %.",
IF(AND(P103=AS_DURATION_EFFORT,X103&lt;&gt;0),"Error: PDs should not be defined when defining as duration effort %.","")))))</f>
        <v/>
      </c>
    </row>
    <row r="104" spans="1:30" s="11" customFormat="1" ht="7.5" hidden="1" customHeight="1" outlineLevel="2" x14ac:dyDescent="0.3">
      <c r="A104" s="93" t="s">
        <v>132</v>
      </c>
      <c r="B104" s="18"/>
      <c r="C104" s="78"/>
      <c r="D104" s="78"/>
      <c r="E104" s="78"/>
      <c r="F104" s="78"/>
      <c r="G104" s="10"/>
      <c r="H104" s="10"/>
      <c r="I104" s="10"/>
      <c r="J104" s="10"/>
      <c r="K104" s="10"/>
      <c r="L104" s="10"/>
      <c r="M104" s="287"/>
      <c r="N104" s="10"/>
      <c r="O104" s="10"/>
      <c r="P104" s="10"/>
      <c r="Q104" s="10"/>
      <c r="R104" s="10"/>
      <c r="S104" s="10"/>
      <c r="T104" s="18"/>
      <c r="U104" s="10"/>
      <c r="V104" s="10"/>
      <c r="W104" s="10"/>
      <c r="X104" s="18"/>
      <c r="Y104" s="10"/>
      <c r="Z104" s="10"/>
      <c r="AA104" s="10"/>
      <c r="AB104" s="60"/>
      <c r="AC104" s="60"/>
      <c r="AD104" s="12"/>
    </row>
    <row r="105" spans="1:30" s="17" customFormat="1" ht="15.6" hidden="1" outlineLevel="1" x14ac:dyDescent="0.3">
      <c r="A105" s="93" t="s">
        <v>100</v>
      </c>
      <c r="B105" s="21"/>
      <c r="C105" s="84"/>
      <c r="D105" s="84"/>
      <c r="E105" s="84"/>
      <c r="F105" s="83"/>
      <c r="G105" s="32"/>
      <c r="H105" s="32"/>
      <c r="I105" s="32"/>
      <c r="J105" s="32"/>
      <c r="K105" s="32"/>
      <c r="L105" s="20">
        <f ca="1">LOOKUP(1000,INDIRECT("L1:"&amp;CELL("address",INDIRECT("R[-1]C",FALSE))))+1</f>
        <v>2</v>
      </c>
      <c r="M105" s="301" t="s">
        <v>449</v>
      </c>
      <c r="N105" s="301"/>
      <c r="O105" s="5"/>
      <c r="P105" s="33"/>
      <c r="Q105" s="33"/>
      <c r="R105" s="33"/>
      <c r="S105" s="33"/>
      <c r="T105" s="167">
        <f>IF($S$6="Exclude", SUMIFS(S106:S111, J106:J111, "&lt;&gt;Yes", G106:G111, "&lt;&gt;Yes"), SUMIFS(S106:S111, J106:J111, "&lt;&gt;Yes"))</f>
        <v>27</v>
      </c>
      <c r="U105" s="33"/>
      <c r="V105" s="33"/>
      <c r="W105" s="33"/>
      <c r="X105" s="34"/>
      <c r="Y105" s="35"/>
      <c r="Z105" s="35"/>
      <c r="AA105" s="35"/>
      <c r="AB105" s="240"/>
      <c r="AC105" s="36"/>
      <c r="AD105" s="26" t="str">
        <f>IF(M105="", "Error: Task name cannot be empty.", "")</f>
        <v/>
      </c>
    </row>
    <row r="106" spans="1:30" s="15" customFormat="1" ht="1.5" hidden="1" customHeight="1" outlineLevel="2" x14ac:dyDescent="0.3">
      <c r="A106" s="93" t="s">
        <v>101</v>
      </c>
      <c r="B106" s="21"/>
      <c r="C106" s="84"/>
      <c r="D106" s="84"/>
      <c r="E106" s="84"/>
      <c r="F106" s="83"/>
      <c r="G106" s="32"/>
      <c r="H106" s="32"/>
      <c r="I106" s="32"/>
      <c r="J106" s="32"/>
      <c r="K106" s="32"/>
      <c r="L106" s="175">
        <f ca="1">L105</f>
        <v>2</v>
      </c>
      <c r="M106" s="176" t="s">
        <v>105</v>
      </c>
      <c r="N106" s="173"/>
      <c r="O106" s="174"/>
      <c r="P106" s="33"/>
      <c r="Q106" s="33"/>
      <c r="R106" s="33"/>
      <c r="S106" s="33"/>
      <c r="T106" s="167"/>
      <c r="U106" s="33"/>
      <c r="V106" s="33"/>
      <c r="W106" s="33"/>
      <c r="X106" s="34"/>
      <c r="Y106" s="35"/>
      <c r="Z106" s="35"/>
      <c r="AA106" s="35"/>
      <c r="AB106" s="36"/>
      <c r="AC106" s="36"/>
      <c r="AD106" s="26"/>
    </row>
    <row r="107" spans="1:30" ht="28.8" hidden="1" outlineLevel="2" x14ac:dyDescent="0.3">
      <c r="A107" s="93" t="s">
        <v>0</v>
      </c>
      <c r="B107" s="21"/>
      <c r="C107" s="85"/>
      <c r="D107" s="85"/>
      <c r="E107" s="85"/>
      <c r="F107" s="86"/>
      <c r="G107" s="22" t="s">
        <v>23</v>
      </c>
      <c r="H107" s="22" t="s">
        <v>23</v>
      </c>
      <c r="I107" s="23" t="s">
        <v>23</v>
      </c>
      <c r="J107" s="22" t="s">
        <v>23</v>
      </c>
      <c r="K107" s="38"/>
      <c r="L107" s="22"/>
      <c r="M107" s="286" t="str">
        <f ca="1">IFERROR(OFFSET(M107,-1,,1,1)+0.1,OFFSET(M107,-1,-1,1,1)&amp;".1")</f>
        <v>2.1</v>
      </c>
      <c r="N107" s="23" t="s">
        <v>592</v>
      </c>
      <c r="O107" s="23"/>
      <c r="P107" s="23"/>
      <c r="Q107" s="144">
        <v>6</v>
      </c>
      <c r="R107" s="137"/>
      <c r="S107" s="169">
        <f>CEILING((IF(J107="Yes", 0, IF(H107="-",AA107,AA107+AA107*VLOOKUP(H107,BUFFERS_BY_TYPE,2,FALSE)))) +
   (IF(J107="Yes", 0, IF(H107="-",AA107,AA107+AA107*VLOOKUP(H107,BUFFERS_BY_TYPE,2,FALSE))))*VLOOKUP($S$5, SALES_CALL_SCALE_ARRAY, 2,FALSE),0.25)</f>
        <v>12</v>
      </c>
      <c r="T107" s="170"/>
      <c r="U107" s="24">
        <v>0</v>
      </c>
      <c r="V107" s="24">
        <v>1</v>
      </c>
      <c r="W107" s="24">
        <v>0</v>
      </c>
      <c r="X107" s="168">
        <v>2</v>
      </c>
      <c r="Y107" s="169">
        <f>CEILING((IF(P107=AS_DEV_EFFORT, DEV_EFFORT*Q107%,
                           IF(P107=AS_DURATION_EFFORT, (MANUAL_DURATION*5)*Q107%,
                                    (IF(Q107&lt;=1,X107,
                                          IF(SUM(U107:W107)=0,(Q107*X107),
                                               (((Q107*U107)*(X107+(X107*EXTRA_FOR_H)))+
                                               ((Q107*V107)*X107)+
                                               ((Q107*W107)*(X107-(X107*LESS_FOR_L)))
                                    )*IF(R107=0,1,R107))))))+Z107), 0.25)</f>
        <v>12</v>
      </c>
      <c r="Z107" s="25"/>
      <c r="AA107" s="169">
        <f>Y107+Y107*VLOOKUP(I107,EXTRAS_ARRAY,2,FALSE)</f>
        <v>12</v>
      </c>
      <c r="AB107" s="23"/>
      <c r="AC107" s="37"/>
      <c r="AD107" s="26" t="str">
        <f>IF(J107&lt;&gt;"Yes",
IF(S107&lt;=0,"Error: Effort value is not defined or is invalid.",
IF(AND(SUM(U107:W107)&gt;0,SUM(U107:W107)&lt;&gt;1),"Error: Complexity % distribution should sum to 100%.",
IF(AND(P107=AS_DEV_EFFORT,X107&lt;&gt;0),"Error: PDs should not be defined when defining as dev effort %.",
IF(AND(P107=AS_DURATION_EFFORT,X107&lt;&gt;0),"Error: PDs should not be defined when defining as duration effort %.","")))))</f>
        <v/>
      </c>
    </row>
    <row r="108" spans="1:30" ht="15.6" hidden="1" outlineLevel="2" x14ac:dyDescent="0.3">
      <c r="A108" s="93" t="s">
        <v>0</v>
      </c>
      <c r="B108" s="21"/>
      <c r="C108" s="85"/>
      <c r="D108" s="85"/>
      <c r="E108" s="85"/>
      <c r="F108" s="86"/>
      <c r="G108" s="22" t="s">
        <v>23</v>
      </c>
      <c r="H108" s="22" t="s">
        <v>23</v>
      </c>
      <c r="I108" s="23" t="s">
        <v>23</v>
      </c>
      <c r="J108" s="22" t="s">
        <v>23</v>
      </c>
      <c r="K108" s="38"/>
      <c r="L108" s="22"/>
      <c r="M108" s="286">
        <f ca="1">IFERROR(OFFSET(M108,-1,,1,1)+0.1,OFFSET(M108,-1,-1,1,1)&amp;".1")</f>
        <v>2.2000000000000002</v>
      </c>
      <c r="N108" s="23" t="s">
        <v>490</v>
      </c>
      <c r="O108" s="23"/>
      <c r="P108" s="23"/>
      <c r="Q108" s="144">
        <v>1</v>
      </c>
      <c r="R108" s="137"/>
      <c r="S108" s="169">
        <f>CEILING((IF(J108="Yes", 0, IF(H108="-",AA108,AA108+AA108*VLOOKUP(H108,BUFFERS_BY_TYPE,2,FALSE)))) +
   (IF(J108="Yes", 0, IF(H108="-",AA108,AA108+AA108*VLOOKUP(H108,BUFFERS_BY_TYPE,2,FALSE))))*VLOOKUP($S$5, SALES_CALL_SCALE_ARRAY, 2,FALSE),0.25)</f>
        <v>5</v>
      </c>
      <c r="T108" s="170"/>
      <c r="U108" s="24">
        <v>0</v>
      </c>
      <c r="V108" s="24">
        <v>1</v>
      </c>
      <c r="W108" s="24">
        <v>0</v>
      </c>
      <c r="X108" s="168">
        <v>5</v>
      </c>
      <c r="Y108" s="169">
        <f>CEILING((IF(P108=AS_DEV_EFFORT, DEV_EFFORT*Q108%,
                           IF(P108=AS_DURATION_EFFORT, (MANUAL_DURATION*5)*Q108%,
                                    (IF(Q108&lt;=1,X108,
                                          IF(SUM(U108:W108)=0,(Q108*X108),
                                               (((Q108*U108)*(X108+(X108*EXTRA_FOR_H)))+
                                               ((Q108*V108)*X108)+
                                               ((Q108*W108)*(X108-(X108*LESS_FOR_L)))
                                    )*IF(R108=0,1,R108))))))+Z108), 0.25)</f>
        <v>5</v>
      </c>
      <c r="Z108" s="25"/>
      <c r="AA108" s="169">
        <f>Y108+Y108*VLOOKUP(I108,EXTRAS_ARRAY,2,FALSE)</f>
        <v>5</v>
      </c>
      <c r="AB108" s="23"/>
      <c r="AC108" s="37"/>
      <c r="AD108" s="26" t="str">
        <f>IF(J108&lt;&gt;"Yes",
IF(S108&lt;=0,"Error: Effort value is not defined or is invalid.",
IF(AND(SUM(U108:W108)&gt;0,SUM(U108:W108)&lt;&gt;1),"Error: Complexity % distribution should sum to 100%.",
IF(AND(P108=AS_DEV_EFFORT,X108&lt;&gt;0),"Error: PDs should not be defined when defining as dev effort %.",
IF(AND(P108=AS_DURATION_EFFORT,X108&lt;&gt;0),"Error: PDs should not be defined when defining as duration effort %.","")))))</f>
        <v/>
      </c>
    </row>
    <row r="109" spans="1:30" ht="15.6" hidden="1" outlineLevel="2" x14ac:dyDescent="0.3">
      <c r="A109" s="93" t="s">
        <v>0</v>
      </c>
      <c r="B109" s="21"/>
      <c r="C109" s="85"/>
      <c r="D109" s="85"/>
      <c r="E109" s="85"/>
      <c r="F109" s="86"/>
      <c r="G109" s="22" t="s">
        <v>23</v>
      </c>
      <c r="H109" s="22" t="s">
        <v>23</v>
      </c>
      <c r="I109" s="23" t="s">
        <v>23</v>
      </c>
      <c r="J109" s="22" t="s">
        <v>23</v>
      </c>
      <c r="K109" s="38"/>
      <c r="L109" s="22"/>
      <c r="M109" s="286">
        <f ca="1">IFERROR(OFFSET(M109,-1,,1,1)+0.1,OFFSET(M109,-1,-1,1,1)&amp;".1")</f>
        <v>2.3000000000000003</v>
      </c>
      <c r="N109" s="23" t="s">
        <v>491</v>
      </c>
      <c r="O109" s="23"/>
      <c r="P109" s="23"/>
      <c r="Q109" s="144">
        <v>1</v>
      </c>
      <c r="R109" s="137"/>
      <c r="S109" s="169">
        <f>CEILING((IF(J109="Yes", 0, IF(H109="-",AA109,AA109+AA109*VLOOKUP(H109,BUFFERS_BY_TYPE,2,FALSE)))) +
   (IF(J109="Yes", 0, IF(H109="-",AA109,AA109+AA109*VLOOKUP(H109,BUFFERS_BY_TYPE,2,FALSE))))*VLOOKUP($S$5, SALES_CALL_SCALE_ARRAY, 2,FALSE),0.25)</f>
        <v>5</v>
      </c>
      <c r="T109" s="170"/>
      <c r="U109" s="24">
        <v>0</v>
      </c>
      <c r="V109" s="24">
        <v>1</v>
      </c>
      <c r="W109" s="24">
        <v>0</v>
      </c>
      <c r="X109" s="168">
        <v>5</v>
      </c>
      <c r="Y109" s="169">
        <f>CEILING((IF(P109=AS_DEV_EFFORT, DEV_EFFORT*Q109%,
                           IF(P109=AS_DURATION_EFFORT, (MANUAL_DURATION*5)*Q109%,
                                    (IF(Q109&lt;=1,X109,
                                          IF(SUM(U109:W109)=0,(Q109*X109),
                                               (((Q109*U109)*(X109+(X109*EXTRA_FOR_H)))+
                                               ((Q109*V109)*X109)+
                                               ((Q109*W109)*(X109-(X109*LESS_FOR_L)))
                                    )*IF(R109=0,1,R109))))))+Z109), 0.25)</f>
        <v>5</v>
      </c>
      <c r="Z109" s="25"/>
      <c r="AA109" s="169">
        <f>Y109+Y109*VLOOKUP(I109,EXTRAS_ARRAY,2,FALSE)</f>
        <v>5</v>
      </c>
      <c r="AB109" s="23"/>
      <c r="AC109" s="37"/>
      <c r="AD109" s="26" t="str">
        <f>IF(J109&lt;&gt;"Yes",
IF(S109&lt;=0,"Error: Effort value is not defined or is invalid.",
IF(AND(SUM(U109:W109)&gt;0,SUM(U109:W109)&lt;&gt;1),"Error: Complexity % distribution should sum to 100%.",
IF(AND(P109=AS_DEV_EFFORT,X109&lt;&gt;0),"Error: PDs should not be defined when defining as dev effort %.",
IF(AND(P109=AS_DURATION_EFFORT,X109&lt;&gt;0),"Error: PDs should not be defined when defining as duration effort %.","")))))</f>
        <v/>
      </c>
    </row>
    <row r="110" spans="1:30" ht="15.6" hidden="1" outlineLevel="2" x14ac:dyDescent="0.3">
      <c r="A110" s="93" t="s">
        <v>0</v>
      </c>
      <c r="B110" s="21"/>
      <c r="C110" s="85"/>
      <c r="D110" s="85"/>
      <c r="E110" s="85"/>
      <c r="F110" s="86"/>
      <c r="G110" s="22" t="s">
        <v>23</v>
      </c>
      <c r="H110" s="22" t="s">
        <v>23</v>
      </c>
      <c r="I110" s="23" t="s">
        <v>23</v>
      </c>
      <c r="J110" s="22" t="s">
        <v>23</v>
      </c>
      <c r="K110" s="38"/>
      <c r="L110" s="22"/>
      <c r="M110" s="286">
        <f ca="1">IFERROR(OFFSET(M110,-1,,1,1)+0.1,OFFSET(M110,-1,-1,1,1)&amp;".1")</f>
        <v>2.4000000000000004</v>
      </c>
      <c r="N110" s="23" t="s">
        <v>593</v>
      </c>
      <c r="O110" s="23"/>
      <c r="P110" s="23"/>
      <c r="Q110" s="144">
        <v>1</v>
      </c>
      <c r="R110" s="137"/>
      <c r="S110" s="169">
        <f>CEILING((IF(J110="Yes", 0, IF(H110="-",AA110,AA110+AA110*VLOOKUP(H110,BUFFERS_BY_TYPE,2,FALSE)))) +
   (IF(J110="Yes", 0, IF(H110="-",AA110,AA110+AA110*VLOOKUP(H110,BUFFERS_BY_TYPE,2,FALSE))))*VLOOKUP($S$5, SALES_CALL_SCALE_ARRAY, 2,FALSE),0.25)</f>
        <v>5</v>
      </c>
      <c r="T110" s="170"/>
      <c r="U110" s="24">
        <v>0</v>
      </c>
      <c r="V110" s="24">
        <v>1</v>
      </c>
      <c r="W110" s="24">
        <v>0</v>
      </c>
      <c r="X110" s="168">
        <v>5</v>
      </c>
      <c r="Y110" s="169">
        <f>CEILING((IF(P110=AS_DEV_EFFORT, DEV_EFFORT*Q110%,
                           IF(P110=AS_DURATION_EFFORT, (MANUAL_DURATION*5)*Q110%,
                                    (IF(Q110&lt;=1,X110,
                                          IF(SUM(U110:W110)=0,(Q110*X110),
                                               (((Q110*U110)*(X110+(X110*EXTRA_FOR_H)))+
                                               ((Q110*V110)*X110)+
                                               ((Q110*W110)*(X110-(X110*LESS_FOR_L)))
                                    )*IF(R110=0,1,R110))))))+Z110), 0.25)</f>
        <v>5</v>
      </c>
      <c r="Z110" s="25"/>
      <c r="AA110" s="169">
        <f>Y110+Y110*VLOOKUP(I110,EXTRAS_ARRAY,2,FALSE)</f>
        <v>5</v>
      </c>
      <c r="AB110" s="23"/>
      <c r="AC110" s="37"/>
      <c r="AD110" s="26" t="str">
        <f>IF(J110&lt;&gt;"Yes",
IF(S110&lt;=0,"Error: Effort value is not defined or is invalid.",
IF(AND(SUM(U110:W110)&gt;0,SUM(U110:W110)&lt;&gt;1),"Error: Complexity % distribution should sum to 100%.",
IF(AND(P110=AS_DEV_EFFORT,X110&lt;&gt;0),"Error: PDs should not be defined when defining as dev effort %.",
IF(AND(P110=AS_DURATION_EFFORT,X110&lt;&gt;0),"Error: PDs should not be defined when defining as duration effort %.","")))))</f>
        <v/>
      </c>
    </row>
    <row r="111" spans="1:30" s="11" customFormat="1" ht="7.5" hidden="1" customHeight="1" outlineLevel="2" x14ac:dyDescent="0.3">
      <c r="A111" s="93" t="s">
        <v>132</v>
      </c>
      <c r="B111" s="18"/>
      <c r="C111" s="78"/>
      <c r="D111" s="78"/>
      <c r="E111" s="78"/>
      <c r="F111" s="78"/>
      <c r="G111" s="10"/>
      <c r="H111" s="10"/>
      <c r="I111" s="10"/>
      <c r="J111" s="10"/>
      <c r="K111" s="10"/>
      <c r="L111" s="10"/>
      <c r="M111" s="287"/>
      <c r="N111" s="10"/>
      <c r="O111" s="10"/>
      <c r="P111" s="10"/>
      <c r="Q111" s="10"/>
      <c r="R111" s="10"/>
      <c r="S111" s="10"/>
      <c r="T111" s="18"/>
      <c r="U111" s="10"/>
      <c r="V111" s="10"/>
      <c r="W111" s="10"/>
      <c r="X111" s="18"/>
      <c r="Y111" s="10"/>
      <c r="Z111" s="10"/>
      <c r="AA111" s="10"/>
      <c r="AB111" s="60"/>
      <c r="AC111" s="60"/>
      <c r="AD111" s="12"/>
    </row>
    <row r="112" spans="1:30" s="17" customFormat="1" ht="15.6" hidden="1" outlineLevel="1" x14ac:dyDescent="0.3">
      <c r="A112" s="93" t="s">
        <v>107</v>
      </c>
      <c r="B112" s="21"/>
      <c r="C112" s="84"/>
      <c r="D112" s="84"/>
      <c r="E112" s="84"/>
      <c r="F112" s="83"/>
      <c r="G112" s="185"/>
      <c r="H112" s="185"/>
      <c r="I112" s="185"/>
      <c r="J112" s="185"/>
      <c r="K112" s="185"/>
      <c r="L112" s="92" t="s">
        <v>109</v>
      </c>
      <c r="M112" s="300" t="s">
        <v>594</v>
      </c>
      <c r="N112" s="300"/>
      <c r="O112" s="87"/>
      <c r="P112" s="88"/>
      <c r="Q112" s="88"/>
      <c r="R112" s="88"/>
      <c r="S112" s="298">
        <f>SUMGROUP(ROW(), "T")</f>
        <v>115</v>
      </c>
      <c r="T112" s="298"/>
      <c r="U112" s="299"/>
      <c r="V112" s="299"/>
      <c r="W112" s="299"/>
      <c r="X112" s="89"/>
      <c r="Y112" s="90"/>
      <c r="Z112" s="90"/>
      <c r="AA112" s="90"/>
      <c r="AB112" s="243"/>
      <c r="AC112" s="91"/>
      <c r="AD112" s="26" t="str">
        <f>IF(M112="", "Error: Module name cannot be empty.", "")</f>
        <v/>
      </c>
    </row>
    <row r="113" spans="1:30" s="17" customFormat="1" ht="15.6" hidden="1" outlineLevel="1" x14ac:dyDescent="0.3">
      <c r="A113" s="93" t="s">
        <v>100</v>
      </c>
      <c r="B113" s="21"/>
      <c r="C113" s="84"/>
      <c r="D113" s="84"/>
      <c r="E113" s="84"/>
      <c r="F113" s="83"/>
      <c r="G113" s="32"/>
      <c r="H113" s="32"/>
      <c r="I113" s="32"/>
      <c r="J113" s="32"/>
      <c r="K113" s="32"/>
      <c r="L113" s="20">
        <f ca="1">LOOKUP(1000,INDIRECT("L1:"&amp;CELL("address",INDIRECT("R[-1]C",FALSE))))+1</f>
        <v>3</v>
      </c>
      <c r="M113" s="301" t="s">
        <v>597</v>
      </c>
      <c r="N113" s="301"/>
      <c r="O113" s="5"/>
      <c r="P113" s="33"/>
      <c r="Q113" s="33"/>
      <c r="R113" s="33"/>
      <c r="S113" s="33"/>
      <c r="T113" s="167">
        <f>IF($S$6="Exclude", SUMIFS(S114:S117, J114:J117, "&lt;&gt;Yes", G114:G117, "&lt;&gt;Yes"), SUMIFS(S114:S117, J114:J117, "&lt;&gt;Yes"))</f>
        <v>32</v>
      </c>
      <c r="U113" s="33"/>
      <c r="V113" s="33"/>
      <c r="W113" s="33"/>
      <c r="X113" s="34"/>
      <c r="Y113" s="35"/>
      <c r="Z113" s="35"/>
      <c r="AA113" s="35"/>
      <c r="AB113" s="240"/>
      <c r="AC113" s="36"/>
      <c r="AD113" s="26" t="str">
        <f>IF(M113="", "Error: Task name cannot be empty.", "")</f>
        <v/>
      </c>
    </row>
    <row r="114" spans="1:30" s="15" customFormat="1" ht="1.5" hidden="1" customHeight="1" outlineLevel="2" x14ac:dyDescent="0.3">
      <c r="A114" s="93" t="s">
        <v>101</v>
      </c>
      <c r="B114" s="21"/>
      <c r="C114" s="84"/>
      <c r="D114" s="84"/>
      <c r="E114" s="84"/>
      <c r="F114" s="83"/>
      <c r="G114" s="32"/>
      <c r="H114" s="32"/>
      <c r="I114" s="32"/>
      <c r="J114" s="32"/>
      <c r="K114" s="32"/>
      <c r="L114" s="175">
        <f ca="1">L113</f>
        <v>3</v>
      </c>
      <c r="M114" s="176" t="s">
        <v>105</v>
      </c>
      <c r="N114" s="173"/>
      <c r="O114" s="174"/>
      <c r="P114" s="33"/>
      <c r="Q114" s="33"/>
      <c r="R114" s="33"/>
      <c r="S114" s="33"/>
      <c r="T114" s="167"/>
      <c r="U114" s="33"/>
      <c r="V114" s="33"/>
      <c r="W114" s="33"/>
      <c r="X114" s="34"/>
      <c r="Y114" s="35"/>
      <c r="Z114" s="35"/>
      <c r="AA114" s="35"/>
      <c r="AB114" s="36"/>
      <c r="AC114" s="36"/>
      <c r="AD114" s="26"/>
    </row>
    <row r="115" spans="1:30" ht="28.8" hidden="1" outlineLevel="2" x14ac:dyDescent="0.3">
      <c r="A115" s="93" t="s">
        <v>0</v>
      </c>
      <c r="B115" s="21"/>
      <c r="C115" s="85"/>
      <c r="D115" s="85"/>
      <c r="E115" s="85"/>
      <c r="F115" s="86"/>
      <c r="G115" s="22" t="s">
        <v>23</v>
      </c>
      <c r="H115" s="22" t="s">
        <v>23</v>
      </c>
      <c r="I115" s="23" t="s">
        <v>23</v>
      </c>
      <c r="J115" s="22" t="s">
        <v>23</v>
      </c>
      <c r="K115" s="38"/>
      <c r="L115" s="22"/>
      <c r="M115" s="286" t="str">
        <f ca="1">IFERROR(OFFSET(M115,-1,,1,1)+0.1,OFFSET(M115,-1,-1,1,1)&amp;".1")</f>
        <v>3.1</v>
      </c>
      <c r="N115" s="23" t="s">
        <v>595</v>
      </c>
      <c r="O115" s="23"/>
      <c r="P115" s="23"/>
      <c r="Q115" s="144">
        <v>4</v>
      </c>
      <c r="R115" s="137"/>
      <c r="S115" s="169">
        <f>CEILING((IF(J115="Yes", 0, IF(H115="-",AA115,AA115+AA115*VLOOKUP(H115,BUFFERS_BY_TYPE,2,FALSE)))) +
   (IF(J115="Yes", 0, IF(H115="-",AA115,AA115+AA115*VLOOKUP(H115,BUFFERS_BY_TYPE,2,FALSE))))*VLOOKUP($S$5, SALES_CALL_SCALE_ARRAY, 2,FALSE),0.25)</f>
        <v>16</v>
      </c>
      <c r="T115" s="170"/>
      <c r="U115" s="24">
        <v>0</v>
      </c>
      <c r="V115" s="24">
        <v>1</v>
      </c>
      <c r="W115" s="24">
        <v>0</v>
      </c>
      <c r="X115" s="168">
        <v>4</v>
      </c>
      <c r="Y115" s="169">
        <f>CEILING((IF(P115=AS_DEV_EFFORT, DEV_EFFORT*Q115%,
                           IF(P115=AS_DURATION_EFFORT, (MANUAL_DURATION*5)*Q115%,
                                    (IF(Q115&lt;=1,X115,
                                          IF(SUM(U115:W115)=0,(Q115*X115),
                                               (((Q115*U115)*(X115+(X115*EXTRA_FOR_H)))+
                                               ((Q115*V115)*X115)+
                                               ((Q115*W115)*(X115-(X115*LESS_FOR_L)))
                                    )*IF(R115=0,1,R115))))))+Z115), 0.25)</f>
        <v>16</v>
      </c>
      <c r="Z115" s="25"/>
      <c r="AA115" s="169">
        <f>Y115+Y115*VLOOKUP(I115,EXTRAS_ARRAY,2,FALSE)</f>
        <v>16</v>
      </c>
      <c r="AB115" s="23"/>
      <c r="AC115" s="37"/>
      <c r="AD115" s="26" t="str">
        <f>IF(J115&lt;&gt;"Yes",
IF(S115&lt;=0,"Error: Effort value is not defined or is invalid.",
IF(AND(SUM(U115:W115)&gt;0,SUM(U115:W115)&lt;&gt;1),"Error: Complexity % distribution should sum to 100%.",
IF(AND(P115=AS_DEV_EFFORT,X115&lt;&gt;0),"Error: PDs should not be defined when defining as dev effort %.",
IF(AND(P115=AS_DURATION_EFFORT,X115&lt;&gt;0),"Error: PDs should not be defined when defining as duration effort %.","")))))</f>
        <v/>
      </c>
    </row>
    <row r="116" spans="1:30" ht="28.8" hidden="1" outlineLevel="2" x14ac:dyDescent="0.3">
      <c r="A116" s="93" t="s">
        <v>0</v>
      </c>
      <c r="B116" s="21"/>
      <c r="C116" s="85"/>
      <c r="D116" s="85"/>
      <c r="E116" s="85"/>
      <c r="F116" s="86"/>
      <c r="G116" s="22" t="s">
        <v>23</v>
      </c>
      <c r="H116" s="22" t="s">
        <v>23</v>
      </c>
      <c r="I116" s="23" t="s">
        <v>23</v>
      </c>
      <c r="J116" s="22" t="s">
        <v>23</v>
      </c>
      <c r="K116" s="38"/>
      <c r="L116" s="22"/>
      <c r="M116" s="286">
        <f ca="1">IFERROR(OFFSET(M116,-1,,1,1)+0.1,OFFSET(M116,-1,-1,1,1)&amp;".1")</f>
        <v>3.2</v>
      </c>
      <c r="N116" s="23" t="s">
        <v>596</v>
      </c>
      <c r="O116" s="23"/>
      <c r="P116" s="23"/>
      <c r="Q116" s="144">
        <v>4</v>
      </c>
      <c r="R116" s="137"/>
      <c r="S116" s="169">
        <f>CEILING((IF(J116="Yes", 0, IF(H116="-",AA116,AA116+AA116*VLOOKUP(H116,BUFFERS_BY_TYPE,2,FALSE)))) +
   (IF(J116="Yes", 0, IF(H116="-",AA116,AA116+AA116*VLOOKUP(H116,BUFFERS_BY_TYPE,2,FALSE))))*VLOOKUP($S$5, SALES_CALL_SCALE_ARRAY, 2,FALSE),0.25)</f>
        <v>16</v>
      </c>
      <c r="T116" s="170"/>
      <c r="U116" s="24">
        <v>0</v>
      </c>
      <c r="V116" s="24">
        <v>1</v>
      </c>
      <c r="W116" s="24">
        <v>0</v>
      </c>
      <c r="X116" s="168">
        <v>4</v>
      </c>
      <c r="Y116" s="169">
        <f>CEILING((IF(P116=AS_DEV_EFFORT, DEV_EFFORT*Q116%,
                           IF(P116=AS_DURATION_EFFORT, (MANUAL_DURATION*5)*Q116%,
                                    (IF(Q116&lt;=1,X116,
                                          IF(SUM(U116:W116)=0,(Q116*X116),
                                               (((Q116*U116)*(X116+(X116*EXTRA_FOR_H)))+
                                               ((Q116*V116)*X116)+
                                               ((Q116*W116)*(X116-(X116*LESS_FOR_L)))
                                    )*IF(R116=0,1,R116))))))+Z116), 0.25)</f>
        <v>16</v>
      </c>
      <c r="Z116" s="25"/>
      <c r="AA116" s="169">
        <f>Y116+Y116*VLOOKUP(I116,EXTRAS_ARRAY,2,FALSE)</f>
        <v>16</v>
      </c>
      <c r="AB116" s="23"/>
      <c r="AC116" s="37"/>
      <c r="AD116" s="26" t="str">
        <f>IF(J116&lt;&gt;"Yes",
IF(S116&lt;=0,"Error: Effort value is not defined or is invalid.",
IF(AND(SUM(U116:W116)&gt;0,SUM(U116:W116)&lt;&gt;1),"Error: Complexity % distribution should sum to 100%.",
IF(AND(P116=AS_DEV_EFFORT,X116&lt;&gt;0),"Error: PDs should not be defined when defining as dev effort %.",
IF(AND(P116=AS_DURATION_EFFORT,X116&lt;&gt;0),"Error: PDs should not be defined when defining as duration effort %.","")))))</f>
        <v/>
      </c>
    </row>
    <row r="117" spans="1:30" s="11" customFormat="1" ht="7.5" hidden="1" customHeight="1" outlineLevel="2" x14ac:dyDescent="0.3">
      <c r="A117" s="93" t="s">
        <v>132</v>
      </c>
      <c r="B117" s="18"/>
      <c r="C117" s="78"/>
      <c r="D117" s="78"/>
      <c r="E117" s="78"/>
      <c r="F117" s="78"/>
      <c r="G117" s="10"/>
      <c r="H117" s="10"/>
      <c r="I117" s="10"/>
      <c r="J117" s="10"/>
      <c r="K117" s="10"/>
      <c r="L117" s="10"/>
      <c r="M117" s="287"/>
      <c r="N117" s="10"/>
      <c r="O117" s="10"/>
      <c r="P117" s="10"/>
      <c r="Q117" s="10"/>
      <c r="R117" s="10"/>
      <c r="S117" s="10"/>
      <c r="T117" s="18"/>
      <c r="U117" s="10"/>
      <c r="V117" s="10"/>
      <c r="W117" s="10"/>
      <c r="X117" s="18"/>
      <c r="Y117" s="10"/>
      <c r="Z117" s="10"/>
      <c r="AA117" s="10"/>
      <c r="AB117" s="60"/>
      <c r="AC117" s="60"/>
      <c r="AD117" s="12"/>
    </row>
    <row r="118" spans="1:30" s="17" customFormat="1" ht="15.6" hidden="1" outlineLevel="1" x14ac:dyDescent="0.3">
      <c r="A118" s="93" t="s">
        <v>100</v>
      </c>
      <c r="B118" s="21"/>
      <c r="C118" s="84"/>
      <c r="D118" s="84"/>
      <c r="E118" s="84"/>
      <c r="F118" s="83"/>
      <c r="G118" s="32"/>
      <c r="H118" s="32"/>
      <c r="I118" s="32"/>
      <c r="J118" s="32"/>
      <c r="K118" s="32"/>
      <c r="L118" s="20">
        <f ca="1">LOOKUP(1000,INDIRECT("L1:"&amp;CELL("address",INDIRECT("R[-1]C",FALSE))))+1</f>
        <v>4</v>
      </c>
      <c r="M118" s="301" t="s">
        <v>598</v>
      </c>
      <c r="N118" s="301"/>
      <c r="O118" s="5"/>
      <c r="P118" s="33"/>
      <c r="Q118" s="33"/>
      <c r="R118" s="33"/>
      <c r="S118" s="33"/>
      <c r="T118" s="167">
        <f>IF($S$6="Exclude", SUMIFS(S119:S121, J119:J121, "&lt;&gt;Yes", G119:G121, "&lt;&gt;Yes"), SUMIFS(S119:S121, J119:J121, "&lt;&gt;Yes"))</f>
        <v>18</v>
      </c>
      <c r="U118" s="33"/>
      <c r="V118" s="33"/>
      <c r="W118" s="33"/>
      <c r="X118" s="34"/>
      <c r="Y118" s="35"/>
      <c r="Z118" s="35"/>
      <c r="AA118" s="35"/>
      <c r="AB118" s="240"/>
      <c r="AC118" s="36"/>
      <c r="AD118" s="26" t="str">
        <f>IF(M118="", "Error: Task name cannot be empty.", "")</f>
        <v/>
      </c>
    </row>
    <row r="119" spans="1:30" s="15" customFormat="1" ht="1.5" hidden="1" customHeight="1" outlineLevel="2" x14ac:dyDescent="0.3">
      <c r="A119" s="93" t="s">
        <v>101</v>
      </c>
      <c r="B119" s="21"/>
      <c r="C119" s="84"/>
      <c r="D119" s="84"/>
      <c r="E119" s="84"/>
      <c r="F119" s="83"/>
      <c r="G119" s="32"/>
      <c r="H119" s="32"/>
      <c r="I119" s="32"/>
      <c r="J119" s="32"/>
      <c r="K119" s="32"/>
      <c r="L119" s="175">
        <f ca="1">L118</f>
        <v>4</v>
      </c>
      <c r="M119" s="176" t="s">
        <v>105</v>
      </c>
      <c r="N119" s="173"/>
      <c r="O119" s="174"/>
      <c r="P119" s="33"/>
      <c r="Q119" s="33"/>
      <c r="R119" s="33"/>
      <c r="S119" s="33"/>
      <c r="T119" s="167"/>
      <c r="U119" s="33"/>
      <c r="V119" s="33"/>
      <c r="W119" s="33"/>
      <c r="X119" s="34"/>
      <c r="Y119" s="35"/>
      <c r="Z119" s="35"/>
      <c r="AA119" s="35"/>
      <c r="AB119" s="36"/>
      <c r="AC119" s="36"/>
      <c r="AD119" s="26"/>
    </row>
    <row r="120" spans="1:30" ht="72" hidden="1" outlineLevel="2" x14ac:dyDescent="0.3">
      <c r="A120" s="93" t="s">
        <v>0</v>
      </c>
      <c r="B120" s="21"/>
      <c r="C120" s="85"/>
      <c r="D120" s="85"/>
      <c r="E120" s="85"/>
      <c r="F120" s="86"/>
      <c r="G120" s="22" t="s">
        <v>23</v>
      </c>
      <c r="H120" s="22" t="s">
        <v>23</v>
      </c>
      <c r="I120" s="23" t="s">
        <v>23</v>
      </c>
      <c r="J120" s="22" t="s">
        <v>23</v>
      </c>
      <c r="K120" s="38"/>
      <c r="L120" s="22"/>
      <c r="M120" s="286" t="str">
        <f ca="1">IFERROR(OFFSET(M120,-1,,1,1)+0.1,OFFSET(M120,-1,-1,1,1)&amp;".1")</f>
        <v>4.1</v>
      </c>
      <c r="N120" s="23" t="s">
        <v>599</v>
      </c>
      <c r="O120" s="23"/>
      <c r="P120" s="23"/>
      <c r="Q120" s="144">
        <v>6</v>
      </c>
      <c r="R120" s="137"/>
      <c r="S120" s="169">
        <f>CEILING((IF(J120="Yes", 0, IF(H120="-",AA120,AA120+AA120*VLOOKUP(H120,BUFFERS_BY_TYPE,2,FALSE)))) +
   (IF(J120="Yes", 0, IF(H120="-",AA120,AA120+AA120*VLOOKUP(H120,BUFFERS_BY_TYPE,2,FALSE))))*VLOOKUP($S$5, SALES_CALL_SCALE_ARRAY, 2,FALSE),0.25)</f>
        <v>18</v>
      </c>
      <c r="T120" s="170"/>
      <c r="U120" s="24">
        <v>0</v>
      </c>
      <c r="V120" s="24">
        <v>1</v>
      </c>
      <c r="W120" s="24">
        <v>0</v>
      </c>
      <c r="X120" s="168">
        <v>3</v>
      </c>
      <c r="Y120" s="169">
        <f>CEILING((IF(P120=AS_DEV_EFFORT, DEV_EFFORT*Q120%,
                           IF(P120=AS_DURATION_EFFORT, (MANUAL_DURATION*5)*Q120%,
                                    (IF(Q120&lt;=1,X120,
                                          IF(SUM(U120:W120)=0,(Q120*X120),
                                               (((Q120*U120)*(X120+(X120*EXTRA_FOR_H)))+
                                               ((Q120*V120)*X120)+
                                               ((Q120*W120)*(X120-(X120*LESS_FOR_L)))
                                    )*IF(R120=0,1,R120))))))+Z120), 0.25)</f>
        <v>18</v>
      </c>
      <c r="Z120" s="25"/>
      <c r="AA120" s="169">
        <f>Y120+Y120*VLOOKUP(I120,EXTRAS_ARRAY,2,FALSE)</f>
        <v>18</v>
      </c>
      <c r="AB120" s="23"/>
      <c r="AC120" s="37"/>
      <c r="AD120" s="26" t="str">
        <f>IF(J120&lt;&gt;"Yes",
IF(S120&lt;=0,"Error: Effort value is not defined or is invalid.",
IF(AND(SUM(U120:W120)&gt;0,SUM(U120:W120)&lt;&gt;1),"Error: Complexity % distribution should sum to 100%.",
IF(AND(P120=AS_DEV_EFFORT,X120&lt;&gt;0),"Error: PDs should not be defined when defining as dev effort %.",
IF(AND(P120=AS_DURATION_EFFORT,X120&lt;&gt;0),"Error: PDs should not be defined when defining as duration effort %.","")))))</f>
        <v/>
      </c>
    </row>
    <row r="121" spans="1:30" s="11" customFormat="1" ht="7.5" hidden="1" customHeight="1" outlineLevel="2" x14ac:dyDescent="0.3">
      <c r="A121" s="93" t="s">
        <v>132</v>
      </c>
      <c r="B121" s="18"/>
      <c r="C121" s="78"/>
      <c r="D121" s="78"/>
      <c r="E121" s="78"/>
      <c r="F121" s="78"/>
      <c r="G121" s="10"/>
      <c r="H121" s="10"/>
      <c r="I121" s="10"/>
      <c r="J121" s="10"/>
      <c r="K121" s="10"/>
      <c r="L121" s="10"/>
      <c r="M121" s="287"/>
      <c r="N121" s="10"/>
      <c r="O121" s="10"/>
      <c r="P121" s="10"/>
      <c r="Q121" s="10"/>
      <c r="R121" s="10"/>
      <c r="S121" s="10"/>
      <c r="T121" s="18"/>
      <c r="U121" s="10"/>
      <c r="V121" s="10"/>
      <c r="W121" s="10"/>
      <c r="X121" s="18"/>
      <c r="Y121" s="10"/>
      <c r="Z121" s="10"/>
      <c r="AA121" s="10"/>
      <c r="AB121" s="60"/>
      <c r="AC121" s="60"/>
      <c r="AD121" s="12"/>
    </row>
    <row r="122" spans="1:30" s="17" customFormat="1" ht="15.6" hidden="1" outlineLevel="1" x14ac:dyDescent="0.3">
      <c r="A122" s="93" t="s">
        <v>100</v>
      </c>
      <c r="B122" s="21"/>
      <c r="C122" s="84"/>
      <c r="D122" s="84"/>
      <c r="E122" s="84"/>
      <c r="F122" s="83"/>
      <c r="G122" s="32"/>
      <c r="H122" s="32"/>
      <c r="I122" s="32"/>
      <c r="J122" s="32"/>
      <c r="K122" s="32"/>
      <c r="L122" s="20">
        <f ca="1">LOOKUP(1000,INDIRECT("L1:"&amp;CELL("address",INDIRECT("R[-1]C",FALSE))))+1</f>
        <v>5</v>
      </c>
      <c r="M122" s="301" t="s">
        <v>600</v>
      </c>
      <c r="N122" s="301"/>
      <c r="O122" s="5"/>
      <c r="P122" s="33"/>
      <c r="Q122" s="33"/>
      <c r="R122" s="33"/>
      <c r="S122" s="33"/>
      <c r="T122" s="167">
        <f>IF($S$6="Exclude", SUMIFS(S123:S125, J123:J125, "&lt;&gt;Yes", G123:G125, "&lt;&gt;Yes"), SUMIFS(S123:S125, J123:J125, "&lt;&gt;Yes"))</f>
        <v>20</v>
      </c>
      <c r="U122" s="33"/>
      <c r="V122" s="33"/>
      <c r="W122" s="33"/>
      <c r="X122" s="34"/>
      <c r="Y122" s="35"/>
      <c r="Z122" s="35"/>
      <c r="AA122" s="35"/>
      <c r="AB122" s="240"/>
      <c r="AC122" s="36"/>
      <c r="AD122" s="26" t="str">
        <f>IF(M122="", "Error: Task name cannot be empty.", "")</f>
        <v/>
      </c>
    </row>
    <row r="123" spans="1:30" s="15" customFormat="1" ht="1.5" hidden="1" customHeight="1" outlineLevel="2" x14ac:dyDescent="0.3">
      <c r="A123" s="93" t="s">
        <v>101</v>
      </c>
      <c r="B123" s="21"/>
      <c r="C123" s="84"/>
      <c r="D123" s="84"/>
      <c r="E123" s="84"/>
      <c r="F123" s="83"/>
      <c r="G123" s="32"/>
      <c r="H123" s="32"/>
      <c r="I123" s="32"/>
      <c r="J123" s="32"/>
      <c r="K123" s="32"/>
      <c r="L123" s="175">
        <f ca="1">L122</f>
        <v>5</v>
      </c>
      <c r="M123" s="176" t="s">
        <v>105</v>
      </c>
      <c r="N123" s="173"/>
      <c r="O123" s="174"/>
      <c r="P123" s="33"/>
      <c r="Q123" s="33"/>
      <c r="R123" s="33"/>
      <c r="S123" s="33"/>
      <c r="T123" s="167"/>
      <c r="U123" s="33"/>
      <c r="V123" s="33"/>
      <c r="W123" s="33"/>
      <c r="X123" s="34"/>
      <c r="Y123" s="35"/>
      <c r="Z123" s="35"/>
      <c r="AA123" s="35"/>
      <c r="AB123" s="36"/>
      <c r="AC123" s="36"/>
      <c r="AD123" s="26"/>
    </row>
    <row r="124" spans="1:30" ht="57.6" hidden="1" outlineLevel="2" x14ac:dyDescent="0.3">
      <c r="A124" s="93" t="s">
        <v>0</v>
      </c>
      <c r="B124" s="21"/>
      <c r="C124" s="85"/>
      <c r="D124" s="85"/>
      <c r="E124" s="85"/>
      <c r="F124" s="86"/>
      <c r="G124" s="22" t="s">
        <v>23</v>
      </c>
      <c r="H124" s="22" t="s">
        <v>23</v>
      </c>
      <c r="I124" s="23" t="s">
        <v>23</v>
      </c>
      <c r="J124" s="22" t="s">
        <v>23</v>
      </c>
      <c r="K124" s="38"/>
      <c r="L124" s="22"/>
      <c r="M124" s="286" t="str">
        <f ca="1">IFERROR(OFFSET(M124,-1,,1,1)+0.1,OFFSET(M124,-1,-1,1,1)&amp;".1")</f>
        <v>5.1</v>
      </c>
      <c r="N124" s="23" t="s">
        <v>604</v>
      </c>
      <c r="O124" s="23"/>
      <c r="P124" s="23"/>
      <c r="Q124" s="144">
        <v>4</v>
      </c>
      <c r="R124" s="137"/>
      <c r="S124" s="169">
        <f>CEILING((IF(J124="Yes", 0, IF(H124="-",AA124,AA124+AA124*VLOOKUP(H124,BUFFERS_BY_TYPE,2,FALSE)))) +
   (IF(J124="Yes", 0, IF(H124="-",AA124,AA124+AA124*VLOOKUP(H124,BUFFERS_BY_TYPE,2,FALSE))))*VLOOKUP($S$5, SALES_CALL_SCALE_ARRAY, 2,FALSE),0.25)</f>
        <v>20</v>
      </c>
      <c r="T124" s="170"/>
      <c r="U124" s="24">
        <v>0</v>
      </c>
      <c r="V124" s="24">
        <v>1</v>
      </c>
      <c r="W124" s="24">
        <v>0</v>
      </c>
      <c r="X124" s="168">
        <v>5</v>
      </c>
      <c r="Y124" s="169">
        <f>CEILING((IF(P124=AS_DEV_EFFORT, DEV_EFFORT*Q124%,
                           IF(P124=AS_DURATION_EFFORT, (MANUAL_DURATION*5)*Q124%,
                                    (IF(Q124&lt;=1,X124,
                                          IF(SUM(U124:W124)=0,(Q124*X124),
                                               (((Q124*U124)*(X124+(X124*EXTRA_FOR_H)))+
                                               ((Q124*V124)*X124)+
                                               ((Q124*W124)*(X124-(X124*LESS_FOR_L)))
                                    )*IF(R124=0,1,R124))))))+Z124), 0.25)</f>
        <v>20</v>
      </c>
      <c r="Z124" s="25"/>
      <c r="AA124" s="169">
        <f>Y124+Y124*VLOOKUP(I124,EXTRAS_ARRAY,2,FALSE)</f>
        <v>20</v>
      </c>
      <c r="AB124" s="23"/>
      <c r="AC124" s="37"/>
      <c r="AD124" s="26" t="str">
        <f>IF(J124&lt;&gt;"Yes",
IF(S124&lt;=0,"Error: Effort value is not defined or is invalid.",
IF(AND(SUM(U124:W124)&gt;0,SUM(U124:W124)&lt;&gt;1),"Error: Complexity % distribution should sum to 100%.",
IF(AND(P124=AS_DEV_EFFORT,X124&lt;&gt;0),"Error: PDs should not be defined when defining as dev effort %.",
IF(AND(P124=AS_DURATION_EFFORT,X124&lt;&gt;0),"Error: PDs should not be defined when defining as duration effort %.","")))))</f>
        <v/>
      </c>
    </row>
    <row r="125" spans="1:30" s="11" customFormat="1" ht="7.5" hidden="1" customHeight="1" outlineLevel="2" x14ac:dyDescent="0.3">
      <c r="A125" s="93" t="s">
        <v>132</v>
      </c>
      <c r="B125" s="18"/>
      <c r="C125" s="78"/>
      <c r="D125" s="78"/>
      <c r="E125" s="78"/>
      <c r="F125" s="78"/>
      <c r="G125" s="10"/>
      <c r="H125" s="10"/>
      <c r="I125" s="10"/>
      <c r="J125" s="10"/>
      <c r="K125" s="10"/>
      <c r="L125" s="10"/>
      <c r="M125" s="287"/>
      <c r="N125" s="10"/>
      <c r="O125" s="10"/>
      <c r="P125" s="10"/>
      <c r="Q125" s="10"/>
      <c r="R125" s="10"/>
      <c r="S125" s="10"/>
      <c r="T125" s="18"/>
      <c r="U125" s="10"/>
      <c r="V125" s="10"/>
      <c r="W125" s="10"/>
      <c r="X125" s="18"/>
      <c r="Y125" s="10"/>
      <c r="Z125" s="10"/>
      <c r="AA125" s="10"/>
      <c r="AB125" s="60"/>
      <c r="AC125" s="60"/>
      <c r="AD125" s="12"/>
    </row>
    <row r="126" spans="1:30" s="17" customFormat="1" ht="15.6" hidden="1" outlineLevel="1" x14ac:dyDescent="0.3">
      <c r="A126" s="93" t="s">
        <v>100</v>
      </c>
      <c r="B126" s="21"/>
      <c r="C126" s="84"/>
      <c r="D126" s="84"/>
      <c r="E126" s="84"/>
      <c r="F126" s="83"/>
      <c r="G126" s="32"/>
      <c r="H126" s="32"/>
      <c r="I126" s="32"/>
      <c r="J126" s="32"/>
      <c r="K126" s="32"/>
      <c r="L126" s="20">
        <f ca="1">LOOKUP(1000,INDIRECT("L1:"&amp;CELL("address",INDIRECT("R[-1]C",FALSE))))+1</f>
        <v>6</v>
      </c>
      <c r="M126" s="301" t="s">
        <v>603</v>
      </c>
      <c r="N126" s="301"/>
      <c r="O126" s="5"/>
      <c r="P126" s="33"/>
      <c r="Q126" s="33"/>
      <c r="R126" s="33"/>
      <c r="S126" s="33"/>
      <c r="T126" s="167">
        <f>IF($S$6="Exclude", SUMIFS(S127:S129, J127:J129, "&lt;&gt;Yes", G127:G129, "&lt;&gt;Yes"), SUMIFS(S127:S129, J127:J129, "&lt;&gt;Yes"))</f>
        <v>20</v>
      </c>
      <c r="U126" s="33"/>
      <c r="V126" s="33"/>
      <c r="W126" s="33"/>
      <c r="X126" s="34"/>
      <c r="Y126" s="35"/>
      <c r="Z126" s="35"/>
      <c r="AA126" s="35"/>
      <c r="AB126" s="240"/>
      <c r="AC126" s="36"/>
      <c r="AD126" s="26" t="str">
        <f>IF(M126="", "Error: Task name cannot be empty.", "")</f>
        <v/>
      </c>
    </row>
    <row r="127" spans="1:30" s="15" customFormat="1" ht="1.5" hidden="1" customHeight="1" outlineLevel="2" x14ac:dyDescent="0.3">
      <c r="A127" s="93" t="s">
        <v>101</v>
      </c>
      <c r="B127" s="21"/>
      <c r="C127" s="84"/>
      <c r="D127" s="84"/>
      <c r="E127" s="84"/>
      <c r="F127" s="83"/>
      <c r="G127" s="32"/>
      <c r="H127" s="32"/>
      <c r="I127" s="32"/>
      <c r="J127" s="32"/>
      <c r="K127" s="32"/>
      <c r="L127" s="175">
        <f ca="1">L126</f>
        <v>6</v>
      </c>
      <c r="M127" s="176" t="s">
        <v>105</v>
      </c>
      <c r="N127" s="173"/>
      <c r="O127" s="174"/>
      <c r="P127" s="33"/>
      <c r="Q127" s="33"/>
      <c r="R127" s="33"/>
      <c r="S127" s="33"/>
      <c r="T127" s="167"/>
      <c r="U127" s="33"/>
      <c r="V127" s="33"/>
      <c r="W127" s="33"/>
      <c r="X127" s="34"/>
      <c r="Y127" s="35"/>
      <c r="Z127" s="35"/>
      <c r="AA127" s="35"/>
      <c r="AB127" s="36"/>
      <c r="AC127" s="36"/>
      <c r="AD127" s="26"/>
    </row>
    <row r="128" spans="1:30" ht="57.6" hidden="1" outlineLevel="2" x14ac:dyDescent="0.3">
      <c r="A128" s="93" t="s">
        <v>0</v>
      </c>
      <c r="B128" s="21"/>
      <c r="C128" s="85"/>
      <c r="D128" s="85"/>
      <c r="E128" s="85"/>
      <c r="F128" s="86"/>
      <c r="G128" s="22" t="s">
        <v>23</v>
      </c>
      <c r="H128" s="22" t="s">
        <v>23</v>
      </c>
      <c r="I128" s="23" t="s">
        <v>23</v>
      </c>
      <c r="J128" s="22" t="s">
        <v>23</v>
      </c>
      <c r="K128" s="38"/>
      <c r="L128" s="22"/>
      <c r="M128" s="286" t="str">
        <f ca="1">IFERROR(OFFSET(M128,-1,,1,1)+0.1,OFFSET(M128,-1,-1,1,1)&amp;".1")</f>
        <v>6.1</v>
      </c>
      <c r="N128" s="23" t="s">
        <v>605</v>
      </c>
      <c r="O128" s="23"/>
      <c r="P128" s="23"/>
      <c r="Q128" s="144">
        <v>4</v>
      </c>
      <c r="R128" s="137"/>
      <c r="S128" s="169">
        <f>CEILING((IF(J128="Yes", 0, IF(H128="-",AA128,AA128+AA128*VLOOKUP(H128,BUFFERS_BY_TYPE,2,FALSE)))) +
   (IF(J128="Yes", 0, IF(H128="-",AA128,AA128+AA128*VLOOKUP(H128,BUFFERS_BY_TYPE,2,FALSE))))*VLOOKUP($S$5, SALES_CALL_SCALE_ARRAY, 2,FALSE),0.25)</f>
        <v>20</v>
      </c>
      <c r="T128" s="170"/>
      <c r="U128" s="24">
        <v>0</v>
      </c>
      <c r="V128" s="24">
        <v>1</v>
      </c>
      <c r="W128" s="24">
        <v>0</v>
      </c>
      <c r="X128" s="168">
        <v>5</v>
      </c>
      <c r="Y128" s="169">
        <f>CEILING((IF(P128=AS_DEV_EFFORT, DEV_EFFORT*Q128%,
                           IF(P128=AS_DURATION_EFFORT, (MANUAL_DURATION*5)*Q128%,
                                    (IF(Q128&lt;=1,X128,
                                          IF(SUM(U128:W128)=0,(Q128*X128),
                                               (((Q128*U128)*(X128+(X128*EXTRA_FOR_H)))+
                                               ((Q128*V128)*X128)+
                                               ((Q128*W128)*(X128-(X128*LESS_FOR_L)))
                                    )*IF(R128=0,1,R128))))))+Z128), 0.25)</f>
        <v>20</v>
      </c>
      <c r="Z128" s="25"/>
      <c r="AA128" s="169">
        <f>Y128+Y128*VLOOKUP(I128,EXTRAS_ARRAY,2,FALSE)</f>
        <v>20</v>
      </c>
      <c r="AB128" s="23"/>
      <c r="AC128" s="37"/>
      <c r="AD128" s="26" t="str">
        <f>IF(J128&lt;&gt;"Yes",
IF(S128&lt;=0,"Error: Effort value is not defined or is invalid.",
IF(AND(SUM(U128:W128)&gt;0,SUM(U128:W128)&lt;&gt;1),"Error: Complexity % distribution should sum to 100%.",
IF(AND(P128=AS_DEV_EFFORT,X128&lt;&gt;0),"Error: PDs should not be defined when defining as dev effort %.",
IF(AND(P128=AS_DURATION_EFFORT,X128&lt;&gt;0),"Error: PDs should not be defined when defining as duration effort %.","")))))</f>
        <v/>
      </c>
    </row>
    <row r="129" spans="1:30" s="11" customFormat="1" ht="7.5" hidden="1" customHeight="1" outlineLevel="2" x14ac:dyDescent="0.3">
      <c r="A129" s="93" t="s">
        <v>132</v>
      </c>
      <c r="B129" s="18"/>
      <c r="C129" s="78"/>
      <c r="D129" s="78"/>
      <c r="E129" s="78"/>
      <c r="F129" s="78"/>
      <c r="G129" s="10"/>
      <c r="H129" s="10"/>
      <c r="I129" s="10"/>
      <c r="J129" s="10"/>
      <c r="K129" s="10"/>
      <c r="L129" s="10"/>
      <c r="M129" s="287"/>
      <c r="N129" s="10"/>
      <c r="O129" s="10"/>
      <c r="P129" s="10"/>
      <c r="Q129" s="10"/>
      <c r="R129" s="10"/>
      <c r="S129" s="10"/>
      <c r="T129" s="18"/>
      <c r="U129" s="10"/>
      <c r="V129" s="10"/>
      <c r="W129" s="10"/>
      <c r="X129" s="18"/>
      <c r="Y129" s="10"/>
      <c r="Z129" s="10"/>
      <c r="AA129" s="10"/>
      <c r="AB129" s="60"/>
      <c r="AC129" s="60"/>
      <c r="AD129" s="12"/>
    </row>
    <row r="130" spans="1:30" s="17" customFormat="1" ht="15.6" hidden="1" outlineLevel="1" x14ac:dyDescent="0.3">
      <c r="A130" s="93" t="s">
        <v>100</v>
      </c>
      <c r="B130" s="21"/>
      <c r="C130" s="84"/>
      <c r="D130" s="84"/>
      <c r="E130" s="84"/>
      <c r="F130" s="83"/>
      <c r="G130" s="32"/>
      <c r="H130" s="32"/>
      <c r="I130" s="32"/>
      <c r="J130" s="32"/>
      <c r="K130" s="32"/>
      <c r="L130" s="20">
        <f ca="1">LOOKUP(1000,INDIRECT("L1:"&amp;CELL("address",INDIRECT("R[-1]C",FALSE))))+1</f>
        <v>7</v>
      </c>
      <c r="M130" s="301" t="s">
        <v>601</v>
      </c>
      <c r="N130" s="301"/>
      <c r="O130" s="5"/>
      <c r="P130" s="33"/>
      <c r="Q130" s="33"/>
      <c r="R130" s="33"/>
      <c r="S130" s="33"/>
      <c r="T130" s="167">
        <f>IF($S$6="Exclude", SUMIFS(S131:S133, J131:J133, "&lt;&gt;Yes", G131:G133, "&lt;&gt;Yes"), SUMIFS(S131:S133, J131:J133, "&lt;&gt;Yes"))</f>
        <v>25</v>
      </c>
      <c r="U130" s="33"/>
      <c r="V130" s="33"/>
      <c r="W130" s="33"/>
      <c r="X130" s="34"/>
      <c r="Y130" s="35"/>
      <c r="Z130" s="35"/>
      <c r="AA130" s="35"/>
      <c r="AB130" s="240"/>
      <c r="AC130" s="36"/>
      <c r="AD130" s="26" t="str">
        <f>IF(M130="", "Error: Task name cannot be empty.", "")</f>
        <v/>
      </c>
    </row>
    <row r="131" spans="1:30" s="15" customFormat="1" ht="1.5" hidden="1" customHeight="1" outlineLevel="2" x14ac:dyDescent="0.3">
      <c r="A131" s="93" t="s">
        <v>101</v>
      </c>
      <c r="B131" s="21"/>
      <c r="C131" s="84"/>
      <c r="D131" s="84"/>
      <c r="E131" s="84"/>
      <c r="F131" s="83"/>
      <c r="G131" s="32"/>
      <c r="H131" s="32"/>
      <c r="I131" s="32"/>
      <c r="J131" s="32"/>
      <c r="K131" s="32"/>
      <c r="L131" s="175">
        <f ca="1">L130</f>
        <v>7</v>
      </c>
      <c r="M131" s="176" t="s">
        <v>105</v>
      </c>
      <c r="N131" s="173"/>
      <c r="O131" s="174"/>
      <c r="P131" s="33"/>
      <c r="Q131" s="33"/>
      <c r="R131" s="33"/>
      <c r="S131" s="33"/>
      <c r="T131" s="167"/>
      <c r="U131" s="33"/>
      <c r="V131" s="33"/>
      <c r="W131" s="33"/>
      <c r="X131" s="34"/>
      <c r="Y131" s="35"/>
      <c r="Z131" s="35"/>
      <c r="AA131" s="35"/>
      <c r="AB131" s="36"/>
      <c r="AC131" s="36"/>
      <c r="AD131" s="26"/>
    </row>
    <row r="132" spans="1:30" ht="72" hidden="1" outlineLevel="2" x14ac:dyDescent="0.3">
      <c r="A132" s="93" t="s">
        <v>0</v>
      </c>
      <c r="B132" s="21"/>
      <c r="C132" s="85"/>
      <c r="D132" s="85"/>
      <c r="E132" s="85"/>
      <c r="F132" s="86"/>
      <c r="G132" s="22" t="s">
        <v>23</v>
      </c>
      <c r="H132" s="22" t="s">
        <v>23</v>
      </c>
      <c r="I132" s="23" t="s">
        <v>23</v>
      </c>
      <c r="J132" s="22" t="s">
        <v>23</v>
      </c>
      <c r="K132" s="38"/>
      <c r="L132" s="22"/>
      <c r="M132" s="286" t="str">
        <f ca="1">IFERROR(OFFSET(M132,-1,,1,1)+0.1,OFFSET(M132,-1,-1,1,1)&amp;".1")</f>
        <v>7.1</v>
      </c>
      <c r="N132" s="23" t="s">
        <v>602</v>
      </c>
      <c r="O132" s="23"/>
      <c r="P132" s="23"/>
      <c r="Q132" s="144">
        <v>5</v>
      </c>
      <c r="R132" s="137"/>
      <c r="S132" s="169">
        <f>CEILING((IF(J132="Yes", 0, IF(H132="-",AA132,AA132+AA132*VLOOKUP(H132,BUFFERS_BY_TYPE,2,FALSE)))) +
   (IF(J132="Yes", 0, IF(H132="-",AA132,AA132+AA132*VLOOKUP(H132,BUFFERS_BY_TYPE,2,FALSE))))*VLOOKUP($S$5, SALES_CALL_SCALE_ARRAY, 2,FALSE),0.25)</f>
        <v>25</v>
      </c>
      <c r="T132" s="170"/>
      <c r="U132" s="24">
        <v>0</v>
      </c>
      <c r="V132" s="24">
        <v>1</v>
      </c>
      <c r="W132" s="24">
        <v>0</v>
      </c>
      <c r="X132" s="168">
        <v>5</v>
      </c>
      <c r="Y132" s="169">
        <f>CEILING((IF(P132=AS_DEV_EFFORT, DEV_EFFORT*Q132%,
                           IF(P132=AS_DURATION_EFFORT, (MANUAL_DURATION*5)*Q132%,
                                    (IF(Q132&lt;=1,X132,
                                          IF(SUM(U132:W132)=0,(Q132*X132),
                                               (((Q132*U132)*(X132+(X132*EXTRA_FOR_H)))+
                                               ((Q132*V132)*X132)+
                                               ((Q132*W132)*(X132-(X132*LESS_FOR_L)))
                                    )*IF(R132=0,1,R132))))))+Z132), 0.25)</f>
        <v>25</v>
      </c>
      <c r="Z132" s="25"/>
      <c r="AA132" s="169">
        <f>Y132+Y132*VLOOKUP(I132,EXTRAS_ARRAY,2,FALSE)</f>
        <v>25</v>
      </c>
      <c r="AB132" s="23"/>
      <c r="AC132" s="37"/>
      <c r="AD132" s="26" t="str">
        <f>IF(J132&lt;&gt;"Yes",
IF(S132&lt;=0,"Error: Effort value is not defined or is invalid.",
IF(AND(SUM(U132:W132)&gt;0,SUM(U132:W132)&lt;&gt;1),"Error: Complexity % distribution should sum to 100%.",
IF(AND(P132=AS_DEV_EFFORT,X132&lt;&gt;0),"Error: PDs should not be defined when defining as dev effort %.",
IF(AND(P132=AS_DURATION_EFFORT,X132&lt;&gt;0),"Error: PDs should not be defined when defining as duration effort %.","")))))</f>
        <v/>
      </c>
    </row>
    <row r="133" spans="1:30" s="11" customFormat="1" ht="7.5" hidden="1" customHeight="1" outlineLevel="2" x14ac:dyDescent="0.3">
      <c r="A133" s="93" t="s">
        <v>132</v>
      </c>
      <c r="B133" s="18"/>
      <c r="C133" s="78"/>
      <c r="D133" s="78"/>
      <c r="E133" s="78"/>
      <c r="F133" s="78"/>
      <c r="G133" s="10"/>
      <c r="H133" s="10"/>
      <c r="I133" s="10"/>
      <c r="J133" s="10"/>
      <c r="K133" s="10"/>
      <c r="L133" s="10"/>
      <c r="M133" s="287"/>
      <c r="N133" s="10"/>
      <c r="O133" s="10"/>
      <c r="P133" s="10"/>
      <c r="Q133" s="10"/>
      <c r="R133" s="10"/>
      <c r="S133" s="10"/>
      <c r="T133" s="18"/>
      <c r="U133" s="10"/>
      <c r="V133" s="10"/>
      <c r="W133" s="10"/>
      <c r="X133" s="18"/>
      <c r="Y133" s="10"/>
      <c r="Z133" s="10"/>
      <c r="AA133" s="10"/>
      <c r="AB133" s="60"/>
      <c r="AC133" s="60"/>
      <c r="AD133" s="12"/>
    </row>
    <row r="134" spans="1:30" s="17" customFormat="1" ht="15.6" hidden="1" outlineLevel="1" x14ac:dyDescent="0.3">
      <c r="A134" s="93" t="s">
        <v>107</v>
      </c>
      <c r="B134" s="21"/>
      <c r="C134" s="84"/>
      <c r="D134" s="84"/>
      <c r="E134" s="84"/>
      <c r="F134" s="83"/>
      <c r="G134" s="185"/>
      <c r="H134" s="185"/>
      <c r="I134" s="185"/>
      <c r="J134" s="185"/>
      <c r="K134" s="185"/>
      <c r="L134" s="92" t="s">
        <v>109</v>
      </c>
      <c r="M134" s="300" t="s">
        <v>606</v>
      </c>
      <c r="N134" s="300"/>
      <c r="O134" s="87"/>
      <c r="P134" s="88"/>
      <c r="Q134" s="88"/>
      <c r="R134" s="88"/>
      <c r="S134" s="298">
        <f>SUMGROUP(ROW(), "T")</f>
        <v>80</v>
      </c>
      <c r="T134" s="298"/>
      <c r="U134" s="299"/>
      <c r="V134" s="299"/>
      <c r="W134" s="299"/>
      <c r="X134" s="89"/>
      <c r="Y134" s="90"/>
      <c r="Z134" s="90"/>
      <c r="AA134" s="90"/>
      <c r="AB134" s="243"/>
      <c r="AC134" s="91"/>
      <c r="AD134" s="26" t="str">
        <f>IF(M134="", "Error: Module name cannot be empty.", "")</f>
        <v/>
      </c>
    </row>
    <row r="135" spans="1:30" s="17" customFormat="1" ht="15.6" hidden="1" outlineLevel="1" x14ac:dyDescent="0.3">
      <c r="A135" s="93" t="s">
        <v>100</v>
      </c>
      <c r="B135" s="21"/>
      <c r="C135" s="84"/>
      <c r="D135" s="84"/>
      <c r="E135" s="84"/>
      <c r="F135" s="83"/>
      <c r="G135" s="32"/>
      <c r="H135" s="32"/>
      <c r="I135" s="32"/>
      <c r="J135" s="32"/>
      <c r="K135" s="32"/>
      <c r="L135" s="20">
        <f ca="1">LOOKUP(1000,INDIRECT("L1:"&amp;CELL("address",INDIRECT("R[-1]C",FALSE))))+1</f>
        <v>8</v>
      </c>
      <c r="M135" s="301" t="s">
        <v>610</v>
      </c>
      <c r="N135" s="301"/>
      <c r="O135" s="5"/>
      <c r="P135" s="33"/>
      <c r="Q135" s="33"/>
      <c r="R135" s="33"/>
      <c r="S135" s="33"/>
      <c r="T135" s="167">
        <f>IF($S$6="Exclude", SUMIFS(S136:S140, J136:J140, "&lt;&gt;Yes", G136:G140, "&lt;&gt;Yes"), SUMIFS(S136:S140, J136:J140, "&lt;&gt;Yes"))</f>
        <v>45</v>
      </c>
      <c r="U135" s="33"/>
      <c r="V135" s="33"/>
      <c r="W135" s="33"/>
      <c r="X135" s="34"/>
      <c r="Y135" s="35"/>
      <c r="Z135" s="35"/>
      <c r="AA135" s="35"/>
      <c r="AB135" s="240"/>
      <c r="AC135" s="36"/>
      <c r="AD135" s="26" t="str">
        <f>IF(M135="", "Error: Task name cannot be empty.", "")</f>
        <v/>
      </c>
    </row>
    <row r="136" spans="1:30" s="15" customFormat="1" ht="1.5" hidden="1" customHeight="1" outlineLevel="2" x14ac:dyDescent="0.3">
      <c r="A136" s="93" t="s">
        <v>101</v>
      </c>
      <c r="B136" s="21"/>
      <c r="C136" s="84"/>
      <c r="D136" s="84"/>
      <c r="E136" s="84"/>
      <c r="F136" s="83"/>
      <c r="G136" s="32"/>
      <c r="H136" s="32"/>
      <c r="I136" s="32"/>
      <c r="J136" s="32"/>
      <c r="K136" s="32"/>
      <c r="L136" s="175">
        <f ca="1">L135</f>
        <v>8</v>
      </c>
      <c r="M136" s="176" t="s">
        <v>105</v>
      </c>
      <c r="N136" s="173"/>
      <c r="O136" s="174"/>
      <c r="P136" s="33"/>
      <c r="Q136" s="33"/>
      <c r="R136" s="33"/>
      <c r="S136" s="33"/>
      <c r="T136" s="167"/>
      <c r="U136" s="33"/>
      <c r="V136" s="33"/>
      <c r="W136" s="33"/>
      <c r="X136" s="34"/>
      <c r="Y136" s="35"/>
      <c r="Z136" s="35"/>
      <c r="AA136" s="35"/>
      <c r="AB136" s="36"/>
      <c r="AC136" s="36"/>
      <c r="AD136" s="26"/>
    </row>
    <row r="137" spans="1:30" ht="28.8" hidden="1" outlineLevel="2" x14ac:dyDescent="0.3">
      <c r="A137" s="93" t="s">
        <v>0</v>
      </c>
      <c r="B137" s="21"/>
      <c r="C137" s="85"/>
      <c r="D137" s="85"/>
      <c r="E137" s="85"/>
      <c r="F137" s="86"/>
      <c r="G137" s="22" t="s">
        <v>23</v>
      </c>
      <c r="H137" s="22" t="s">
        <v>23</v>
      </c>
      <c r="I137" s="23" t="s">
        <v>23</v>
      </c>
      <c r="J137" s="22" t="s">
        <v>23</v>
      </c>
      <c r="K137" s="38"/>
      <c r="L137" s="22"/>
      <c r="M137" s="286" t="str">
        <f ca="1">IFERROR(OFFSET(M137,-1,,1,1)+0.1,OFFSET(M137,-1,-1,1,1)&amp;".1")</f>
        <v>8.1</v>
      </c>
      <c r="N137" s="23" t="s">
        <v>611</v>
      </c>
      <c r="O137" s="23"/>
      <c r="P137" s="23"/>
      <c r="Q137" s="144">
        <v>3</v>
      </c>
      <c r="R137" s="137"/>
      <c r="S137" s="169">
        <f>CEILING((IF(J137="Yes", 0, IF(H137="-",AA137,AA137+AA137*VLOOKUP(H137,BUFFERS_BY_TYPE,2,FALSE)))) +
   (IF(J137="Yes", 0, IF(H137="-",AA137,AA137+AA137*VLOOKUP(H137,BUFFERS_BY_TYPE,2,FALSE))))*VLOOKUP($S$5, SALES_CALL_SCALE_ARRAY, 2,FALSE),0.25)</f>
        <v>15</v>
      </c>
      <c r="T137" s="170"/>
      <c r="U137" s="24">
        <v>0</v>
      </c>
      <c r="V137" s="24">
        <v>1</v>
      </c>
      <c r="W137" s="24">
        <v>0</v>
      </c>
      <c r="X137" s="168">
        <v>5</v>
      </c>
      <c r="Y137" s="169">
        <f>CEILING((IF(P137=AS_DEV_EFFORT, DEV_EFFORT*Q137%,
                           IF(P137=AS_DURATION_EFFORT, (MANUAL_DURATION*5)*Q137%,
                                    (IF(Q137&lt;=1,X137,
                                          IF(SUM(U137:W137)=0,(Q137*X137),
                                               (((Q137*U137)*(X137+(X137*EXTRA_FOR_H)))+
                                               ((Q137*V137)*X137)+
                                               ((Q137*W137)*(X137-(X137*LESS_FOR_L)))
                                    )*IF(R137=0,1,R137))))))+Z137), 0.25)</f>
        <v>15</v>
      </c>
      <c r="Z137" s="25"/>
      <c r="AA137" s="169">
        <f>Y137+Y137*VLOOKUP(I137,EXTRAS_ARRAY,2,FALSE)</f>
        <v>15</v>
      </c>
      <c r="AB137" s="23"/>
      <c r="AC137" s="37"/>
      <c r="AD137" s="26" t="str">
        <f>IF(J137&lt;&gt;"Yes",
IF(S137&lt;=0,"Error: Effort value is not defined or is invalid.",
IF(AND(SUM(U137:W137)&gt;0,SUM(U137:W137)&lt;&gt;1),"Error: Complexity % distribution should sum to 100%.",
IF(AND(P137=AS_DEV_EFFORT,X137&lt;&gt;0),"Error: PDs should not be defined when defining as dev effort %.",
IF(AND(P137=AS_DURATION_EFFORT,X137&lt;&gt;0),"Error: PDs should not be defined when defining as duration effort %.","")))))</f>
        <v/>
      </c>
    </row>
    <row r="138" spans="1:30" ht="28.8" hidden="1" outlineLevel="2" x14ac:dyDescent="0.3">
      <c r="A138" s="93" t="s">
        <v>0</v>
      </c>
      <c r="B138" s="21"/>
      <c r="C138" s="85"/>
      <c r="D138" s="85"/>
      <c r="E138" s="85"/>
      <c r="F138" s="86"/>
      <c r="G138" s="22" t="s">
        <v>23</v>
      </c>
      <c r="H138" s="22" t="s">
        <v>23</v>
      </c>
      <c r="I138" s="23" t="s">
        <v>23</v>
      </c>
      <c r="J138" s="22" t="s">
        <v>23</v>
      </c>
      <c r="K138" s="38"/>
      <c r="L138" s="22"/>
      <c r="M138" s="286">
        <f ca="1">IFERROR(OFFSET(M138,-1,,1,1)+0.1,OFFSET(M138,-1,-1,1,1)&amp;".1")</f>
        <v>8.1999999999999993</v>
      </c>
      <c r="N138" s="23" t="s">
        <v>612</v>
      </c>
      <c r="O138" s="23"/>
      <c r="P138" s="23"/>
      <c r="Q138" s="144">
        <v>3</v>
      </c>
      <c r="R138" s="137"/>
      <c r="S138" s="169">
        <f>CEILING((IF(J138="Yes", 0, IF(H138="-",AA138,AA138+AA138*VLOOKUP(H138,BUFFERS_BY_TYPE,2,FALSE)))) +
   (IF(J138="Yes", 0, IF(H138="-",AA138,AA138+AA138*VLOOKUP(H138,BUFFERS_BY_TYPE,2,FALSE))))*VLOOKUP($S$5, SALES_CALL_SCALE_ARRAY, 2,FALSE),0.25)</f>
        <v>15</v>
      </c>
      <c r="T138" s="170"/>
      <c r="U138" s="24">
        <v>0</v>
      </c>
      <c r="V138" s="24">
        <v>1</v>
      </c>
      <c r="W138" s="24">
        <v>0</v>
      </c>
      <c r="X138" s="168">
        <v>5</v>
      </c>
      <c r="Y138" s="169">
        <f>CEILING((IF(P138=AS_DEV_EFFORT, DEV_EFFORT*Q138%,
                           IF(P138=AS_DURATION_EFFORT, (MANUAL_DURATION*5)*Q138%,
                                    (IF(Q138&lt;=1,X138,
                                          IF(SUM(U138:W138)=0,(Q138*X138),
                                               (((Q138*U138)*(X138+(X138*EXTRA_FOR_H)))+
                                               ((Q138*V138)*X138)+
                                               ((Q138*W138)*(X138-(X138*LESS_FOR_L)))
                                    )*IF(R138=0,1,R138))))))+Z138), 0.25)</f>
        <v>15</v>
      </c>
      <c r="Z138" s="25"/>
      <c r="AA138" s="169">
        <f>Y138+Y138*VLOOKUP(I138,EXTRAS_ARRAY,2,FALSE)</f>
        <v>15</v>
      </c>
      <c r="AB138" s="23"/>
      <c r="AC138" s="37"/>
      <c r="AD138" s="26" t="str">
        <f>IF(J138&lt;&gt;"Yes",
IF(S138&lt;=0,"Error: Effort value is not defined or is invalid.",
IF(AND(SUM(U138:W138)&gt;0,SUM(U138:W138)&lt;&gt;1),"Error: Complexity % distribution should sum to 100%.",
IF(AND(P138=AS_DEV_EFFORT,X138&lt;&gt;0),"Error: PDs should not be defined when defining as dev effort %.",
IF(AND(P138=AS_DURATION_EFFORT,X138&lt;&gt;0),"Error: PDs should not be defined when defining as duration effort %.","")))))</f>
        <v/>
      </c>
    </row>
    <row r="139" spans="1:30" ht="28.8" hidden="1" outlineLevel="2" x14ac:dyDescent="0.3">
      <c r="A139" s="93" t="s">
        <v>0</v>
      </c>
      <c r="B139" s="21"/>
      <c r="C139" s="85"/>
      <c r="D139" s="85"/>
      <c r="E139" s="85"/>
      <c r="F139" s="86"/>
      <c r="G139" s="22" t="s">
        <v>23</v>
      </c>
      <c r="H139" s="22" t="s">
        <v>23</v>
      </c>
      <c r="I139" s="23" t="s">
        <v>23</v>
      </c>
      <c r="J139" s="22" t="s">
        <v>23</v>
      </c>
      <c r="K139" s="38"/>
      <c r="L139" s="22"/>
      <c r="M139" s="286">
        <f ca="1">IFERROR(OFFSET(M139,-1,,1,1)+0.1,OFFSET(M139,-1,-1,1,1)&amp;".1")</f>
        <v>8.2999999999999989</v>
      </c>
      <c r="N139" s="23" t="s">
        <v>613</v>
      </c>
      <c r="O139" s="23"/>
      <c r="P139" s="23"/>
      <c r="Q139" s="144">
        <v>3</v>
      </c>
      <c r="R139" s="137"/>
      <c r="S139" s="169">
        <f>CEILING((IF(J139="Yes", 0, IF(H139="-",AA139,AA139+AA139*VLOOKUP(H139,BUFFERS_BY_TYPE,2,FALSE)))) +
   (IF(J139="Yes", 0, IF(H139="-",AA139,AA139+AA139*VLOOKUP(H139,BUFFERS_BY_TYPE,2,FALSE))))*VLOOKUP($S$5, SALES_CALL_SCALE_ARRAY, 2,FALSE),0.25)</f>
        <v>15</v>
      </c>
      <c r="T139" s="170"/>
      <c r="U139" s="24">
        <v>0</v>
      </c>
      <c r="V139" s="24">
        <v>1</v>
      </c>
      <c r="W139" s="24">
        <v>0</v>
      </c>
      <c r="X139" s="168">
        <v>5</v>
      </c>
      <c r="Y139" s="169">
        <f>CEILING((IF(P139=AS_DEV_EFFORT, DEV_EFFORT*Q139%,
                           IF(P139=AS_DURATION_EFFORT, (MANUAL_DURATION*5)*Q139%,
                                    (IF(Q139&lt;=1,X139,
                                          IF(SUM(U139:W139)=0,(Q139*X139),
                                               (((Q139*U139)*(X139+(X139*EXTRA_FOR_H)))+
                                               ((Q139*V139)*X139)+
                                               ((Q139*W139)*(X139-(X139*LESS_FOR_L)))
                                    )*IF(R139=0,1,R139))))))+Z139), 0.25)</f>
        <v>15</v>
      </c>
      <c r="Z139" s="25"/>
      <c r="AA139" s="169">
        <f>Y139+Y139*VLOOKUP(I139,EXTRAS_ARRAY,2,FALSE)</f>
        <v>15</v>
      </c>
      <c r="AB139" s="23"/>
      <c r="AC139" s="37"/>
      <c r="AD139" s="26" t="str">
        <f>IF(J139&lt;&gt;"Yes",
IF(S139&lt;=0,"Error: Effort value is not defined or is invalid.",
IF(AND(SUM(U139:W139)&gt;0,SUM(U139:W139)&lt;&gt;1),"Error: Complexity % distribution should sum to 100%.",
IF(AND(P139=AS_DEV_EFFORT,X139&lt;&gt;0),"Error: PDs should not be defined when defining as dev effort %.",
IF(AND(P139=AS_DURATION_EFFORT,X139&lt;&gt;0),"Error: PDs should not be defined when defining as duration effort %.","")))))</f>
        <v/>
      </c>
    </row>
    <row r="140" spans="1:30" s="11" customFormat="1" ht="7.5" hidden="1" customHeight="1" outlineLevel="2" x14ac:dyDescent="0.3">
      <c r="A140" s="93" t="s">
        <v>132</v>
      </c>
      <c r="B140" s="18"/>
      <c r="C140" s="78"/>
      <c r="D140" s="78"/>
      <c r="E140" s="78"/>
      <c r="F140" s="78"/>
      <c r="G140" s="10"/>
      <c r="H140" s="10"/>
      <c r="I140" s="10"/>
      <c r="J140" s="10"/>
      <c r="K140" s="10"/>
      <c r="L140" s="10"/>
      <c r="M140" s="287"/>
      <c r="N140" s="10"/>
      <c r="O140" s="10"/>
      <c r="P140" s="10"/>
      <c r="Q140" s="10"/>
      <c r="R140" s="10"/>
      <c r="S140" s="10"/>
      <c r="T140" s="18"/>
      <c r="U140" s="10"/>
      <c r="V140" s="10"/>
      <c r="W140" s="10"/>
      <c r="X140" s="18"/>
      <c r="Y140" s="10"/>
      <c r="Z140" s="10"/>
      <c r="AA140" s="10"/>
      <c r="AB140" s="60"/>
      <c r="AC140" s="60"/>
      <c r="AD140" s="12"/>
    </row>
    <row r="141" spans="1:30" s="17" customFormat="1" ht="15.6" hidden="1" outlineLevel="1" x14ac:dyDescent="0.3">
      <c r="A141" s="93" t="s">
        <v>100</v>
      </c>
      <c r="B141" s="21"/>
      <c r="C141" s="84"/>
      <c r="D141" s="84"/>
      <c r="E141" s="84"/>
      <c r="F141" s="83"/>
      <c r="G141" s="32"/>
      <c r="H141" s="32"/>
      <c r="I141" s="32"/>
      <c r="J141" s="32"/>
      <c r="K141" s="32"/>
      <c r="L141" s="20">
        <f ca="1">LOOKUP(1000,INDIRECT("L1:"&amp;CELL("address",INDIRECT("R[-1]C",FALSE))))+1</f>
        <v>9</v>
      </c>
      <c r="M141" s="301" t="s">
        <v>607</v>
      </c>
      <c r="N141" s="301"/>
      <c r="O141" s="5"/>
      <c r="P141" s="33"/>
      <c r="Q141" s="33"/>
      <c r="R141" s="33"/>
      <c r="S141" s="33"/>
      <c r="T141" s="167">
        <f>IF($S$6="Exclude", SUMIFS(S142:S145, J142:J145, "&lt;&gt;Yes", G142:G145, "&lt;&gt;Yes"), SUMIFS(S142:S145, J142:J145, "&lt;&gt;Yes"))</f>
        <v>35</v>
      </c>
      <c r="U141" s="33"/>
      <c r="V141" s="33"/>
      <c r="W141" s="33"/>
      <c r="X141" s="34"/>
      <c r="Y141" s="35"/>
      <c r="Z141" s="35"/>
      <c r="AA141" s="35"/>
      <c r="AB141" s="240"/>
      <c r="AC141" s="36"/>
      <c r="AD141" s="26" t="str">
        <f>IF(M141="", "Error: Task name cannot be empty.", "")</f>
        <v/>
      </c>
    </row>
    <row r="142" spans="1:30" s="15" customFormat="1" ht="1.5" hidden="1" customHeight="1" outlineLevel="2" x14ac:dyDescent="0.3">
      <c r="A142" s="93" t="s">
        <v>101</v>
      </c>
      <c r="B142" s="21"/>
      <c r="C142" s="84"/>
      <c r="D142" s="84"/>
      <c r="E142" s="84"/>
      <c r="F142" s="83"/>
      <c r="G142" s="32"/>
      <c r="H142" s="32"/>
      <c r="I142" s="32"/>
      <c r="J142" s="32"/>
      <c r="K142" s="32"/>
      <c r="L142" s="175">
        <f ca="1">L141</f>
        <v>9</v>
      </c>
      <c r="M142" s="176" t="s">
        <v>105</v>
      </c>
      <c r="N142" s="173"/>
      <c r="O142" s="174"/>
      <c r="P142" s="33"/>
      <c r="Q142" s="33"/>
      <c r="R142" s="33"/>
      <c r="S142" s="33"/>
      <c r="T142" s="167"/>
      <c r="U142" s="33"/>
      <c r="V142" s="33"/>
      <c r="W142" s="33"/>
      <c r="X142" s="34"/>
      <c r="Y142" s="35"/>
      <c r="Z142" s="35"/>
      <c r="AA142" s="35"/>
      <c r="AB142" s="36"/>
      <c r="AC142" s="36"/>
      <c r="AD142" s="26"/>
    </row>
    <row r="143" spans="1:30" ht="43.2" hidden="1" outlineLevel="2" x14ac:dyDescent="0.3">
      <c r="A143" s="93" t="s">
        <v>0</v>
      </c>
      <c r="B143" s="21"/>
      <c r="C143" s="85"/>
      <c r="D143" s="85"/>
      <c r="E143" s="85"/>
      <c r="F143" s="86"/>
      <c r="G143" s="22" t="s">
        <v>23</v>
      </c>
      <c r="H143" s="22" t="s">
        <v>23</v>
      </c>
      <c r="I143" s="23" t="s">
        <v>23</v>
      </c>
      <c r="J143" s="22" t="s">
        <v>23</v>
      </c>
      <c r="K143" s="38"/>
      <c r="L143" s="22"/>
      <c r="M143" s="286" t="str">
        <f ca="1">IFERROR(OFFSET(M143,-1,,1,1)+0.1,OFFSET(M143,-1,-1,1,1)&amp;".1")</f>
        <v>9.1</v>
      </c>
      <c r="N143" s="23" t="s">
        <v>608</v>
      </c>
      <c r="O143" s="23"/>
      <c r="P143" s="23"/>
      <c r="Q143" s="144">
        <v>4</v>
      </c>
      <c r="R143" s="137"/>
      <c r="S143" s="169">
        <f>CEILING((IF(J143="Yes", 0, IF(H143="-",AA143,AA143+AA143*VLOOKUP(H143,BUFFERS_BY_TYPE,2,FALSE)))) +
   (IF(J143="Yes", 0, IF(H143="-",AA143,AA143+AA143*VLOOKUP(H143,BUFFERS_BY_TYPE,2,FALSE))))*VLOOKUP($S$5, SALES_CALL_SCALE_ARRAY, 2,FALSE),0.25)</f>
        <v>20</v>
      </c>
      <c r="T143" s="170"/>
      <c r="U143" s="24">
        <v>0</v>
      </c>
      <c r="V143" s="24">
        <v>1</v>
      </c>
      <c r="W143" s="24">
        <v>0</v>
      </c>
      <c r="X143" s="168">
        <v>5</v>
      </c>
      <c r="Y143" s="169">
        <f>CEILING((IF(P143=AS_DEV_EFFORT, DEV_EFFORT*Q143%,
                           IF(P143=AS_DURATION_EFFORT, (MANUAL_DURATION*5)*Q143%,
                                    (IF(Q143&lt;=1,X143,
                                          IF(SUM(U143:W143)=0,(Q143*X143),
                                               (((Q143*U143)*(X143+(X143*EXTRA_FOR_H)))+
                                               ((Q143*V143)*X143)+
                                               ((Q143*W143)*(X143-(X143*LESS_FOR_L)))
                                    )*IF(R143=0,1,R143))))))+Z143), 0.25)</f>
        <v>20</v>
      </c>
      <c r="Z143" s="25"/>
      <c r="AA143" s="169">
        <f>Y143+Y143*VLOOKUP(I143,EXTRAS_ARRAY,2,FALSE)</f>
        <v>20</v>
      </c>
      <c r="AB143" s="23"/>
      <c r="AC143" s="37"/>
      <c r="AD143" s="26" t="str">
        <f>IF(J143&lt;&gt;"Yes",
IF(S143&lt;=0,"Error: Effort value is not defined or is invalid.",
IF(AND(SUM(U143:W143)&gt;0,SUM(U143:W143)&lt;&gt;1),"Error: Complexity % distribution should sum to 100%.",
IF(AND(P143=AS_DEV_EFFORT,X143&lt;&gt;0),"Error: PDs should not be defined when defining as dev effort %.",
IF(AND(P143=AS_DURATION_EFFORT,X143&lt;&gt;0),"Error: PDs should not be defined when defining as duration effort %.","")))))</f>
        <v/>
      </c>
    </row>
    <row r="144" spans="1:30" ht="15.6" hidden="1" outlineLevel="2" x14ac:dyDescent="0.3">
      <c r="A144" s="93" t="s">
        <v>0</v>
      </c>
      <c r="B144" s="21"/>
      <c r="C144" s="85"/>
      <c r="D144" s="85"/>
      <c r="E144" s="85"/>
      <c r="F144" s="86"/>
      <c r="G144" s="22" t="s">
        <v>23</v>
      </c>
      <c r="H144" s="22" t="s">
        <v>23</v>
      </c>
      <c r="I144" s="23" t="s">
        <v>23</v>
      </c>
      <c r="J144" s="22" t="s">
        <v>23</v>
      </c>
      <c r="K144" s="38"/>
      <c r="L144" s="22"/>
      <c r="M144" s="286">
        <f ca="1">IFERROR(OFFSET(M144,-1,,1,1)+0.1,OFFSET(M144,-1,-1,1,1)&amp;".1")</f>
        <v>9.1999999999999993</v>
      </c>
      <c r="N144" s="23" t="s">
        <v>609</v>
      </c>
      <c r="O144" s="23"/>
      <c r="P144" s="23"/>
      <c r="Q144" s="144">
        <v>3</v>
      </c>
      <c r="R144" s="137"/>
      <c r="S144" s="169">
        <f>CEILING((IF(J144="Yes", 0, IF(H144="-",AA144,AA144+AA144*VLOOKUP(H144,BUFFERS_BY_TYPE,2,FALSE)))) +
   (IF(J144="Yes", 0, IF(H144="-",AA144,AA144+AA144*VLOOKUP(H144,BUFFERS_BY_TYPE,2,FALSE))))*VLOOKUP($S$5, SALES_CALL_SCALE_ARRAY, 2,FALSE),0.25)</f>
        <v>15</v>
      </c>
      <c r="T144" s="170"/>
      <c r="U144" s="24">
        <v>0</v>
      </c>
      <c r="V144" s="24">
        <v>1</v>
      </c>
      <c r="W144" s="24">
        <v>0</v>
      </c>
      <c r="X144" s="168">
        <v>5</v>
      </c>
      <c r="Y144" s="169">
        <f>CEILING((IF(P144=AS_DEV_EFFORT, DEV_EFFORT*Q144%,
                           IF(P144=AS_DURATION_EFFORT, (MANUAL_DURATION*5)*Q144%,
                                    (IF(Q144&lt;=1,X144,
                                          IF(SUM(U144:W144)=0,(Q144*X144),
                                               (((Q144*U144)*(X144+(X144*EXTRA_FOR_H)))+
                                               ((Q144*V144)*X144)+
                                               ((Q144*W144)*(X144-(X144*LESS_FOR_L)))
                                    )*IF(R144=0,1,R144))))))+Z144), 0.25)</f>
        <v>15</v>
      </c>
      <c r="Z144" s="25"/>
      <c r="AA144" s="169">
        <f>Y144+Y144*VLOOKUP(I144,EXTRAS_ARRAY,2,FALSE)</f>
        <v>15</v>
      </c>
      <c r="AB144" s="23"/>
      <c r="AC144" s="37"/>
      <c r="AD144" s="26" t="str">
        <f>IF(J144&lt;&gt;"Yes",
IF(S144&lt;=0,"Error: Effort value is not defined or is invalid.",
IF(AND(SUM(U144:W144)&gt;0,SUM(U144:W144)&lt;&gt;1),"Error: Complexity % distribution should sum to 100%.",
IF(AND(P144=AS_DEV_EFFORT,X144&lt;&gt;0),"Error: PDs should not be defined when defining as dev effort %.",
IF(AND(P144=AS_DURATION_EFFORT,X144&lt;&gt;0),"Error: PDs should not be defined when defining as duration effort %.","")))))</f>
        <v/>
      </c>
    </row>
    <row r="145" spans="1:30" s="11" customFormat="1" ht="7.5" hidden="1" customHeight="1" outlineLevel="2" x14ac:dyDescent="0.3">
      <c r="A145" s="93" t="s">
        <v>132</v>
      </c>
      <c r="B145" s="18"/>
      <c r="C145" s="78"/>
      <c r="D145" s="78"/>
      <c r="E145" s="78"/>
      <c r="F145" s="78"/>
      <c r="G145" s="10"/>
      <c r="H145" s="10"/>
      <c r="I145" s="10"/>
      <c r="J145" s="10"/>
      <c r="K145" s="10"/>
      <c r="L145" s="10"/>
      <c r="M145" s="287"/>
      <c r="N145" s="10"/>
      <c r="O145" s="10"/>
      <c r="P145" s="10"/>
      <c r="Q145" s="10"/>
      <c r="R145" s="10"/>
      <c r="S145" s="10"/>
      <c r="T145" s="18"/>
      <c r="U145" s="10"/>
      <c r="V145" s="10"/>
      <c r="W145" s="10"/>
      <c r="X145" s="18"/>
      <c r="Y145" s="10"/>
      <c r="Z145" s="10"/>
      <c r="AA145" s="10"/>
      <c r="AB145" s="60"/>
      <c r="AC145" s="60"/>
      <c r="AD145" s="12"/>
    </row>
    <row r="146" spans="1:30" s="17" customFormat="1" ht="15.6" hidden="1" outlineLevel="1" x14ac:dyDescent="0.3">
      <c r="A146" s="93" t="s">
        <v>107</v>
      </c>
      <c r="B146" s="21"/>
      <c r="C146" s="84"/>
      <c r="D146" s="84"/>
      <c r="E146" s="84"/>
      <c r="F146" s="83"/>
      <c r="G146" s="185"/>
      <c r="H146" s="185"/>
      <c r="I146" s="185"/>
      <c r="J146" s="185"/>
      <c r="K146" s="185"/>
      <c r="L146" s="92" t="s">
        <v>109</v>
      </c>
      <c r="M146" s="300" t="s">
        <v>614</v>
      </c>
      <c r="N146" s="300"/>
      <c r="O146" s="87"/>
      <c r="P146" s="88"/>
      <c r="Q146" s="88"/>
      <c r="R146" s="88"/>
      <c r="S146" s="298">
        <f>SUMGROUP(ROW(), "T")</f>
        <v>170</v>
      </c>
      <c r="T146" s="298"/>
      <c r="U146" s="299"/>
      <c r="V146" s="299"/>
      <c r="W146" s="299"/>
      <c r="X146" s="89"/>
      <c r="Y146" s="90"/>
      <c r="Z146" s="90"/>
      <c r="AA146" s="90"/>
      <c r="AB146" s="243"/>
      <c r="AC146" s="91"/>
      <c r="AD146" s="26" t="str">
        <f>IF(M146="", "Error: Module name cannot be empty.", "")</f>
        <v/>
      </c>
    </row>
    <row r="147" spans="1:30" s="17" customFormat="1" ht="15.6" hidden="1" outlineLevel="1" x14ac:dyDescent="0.3">
      <c r="A147" s="93" t="s">
        <v>100</v>
      </c>
      <c r="B147" s="21"/>
      <c r="C147" s="84"/>
      <c r="D147" s="84"/>
      <c r="E147" s="84"/>
      <c r="F147" s="83"/>
      <c r="G147" s="32"/>
      <c r="H147" s="32"/>
      <c r="I147" s="32"/>
      <c r="J147" s="32"/>
      <c r="K147" s="32"/>
      <c r="L147" s="20">
        <f ca="1">LOOKUP(1000,INDIRECT("L1:"&amp;CELL("address",INDIRECT("R[-1]C",FALSE))))+1</f>
        <v>10</v>
      </c>
      <c r="M147" s="301" t="s">
        <v>615</v>
      </c>
      <c r="N147" s="301"/>
      <c r="O147" s="5"/>
      <c r="P147" s="33"/>
      <c r="Q147" s="33"/>
      <c r="R147" s="33"/>
      <c r="S147" s="33"/>
      <c r="T147" s="167">
        <f>IF($S$6="Exclude", SUMIFS(S148:S150, J148:J150, "&lt;&gt;Yes", G148:G150, "&lt;&gt;Yes"), SUMIFS(S148:S150, J148:J150, "&lt;&gt;Yes"))</f>
        <v>60</v>
      </c>
      <c r="U147" s="33"/>
      <c r="V147" s="33"/>
      <c r="W147" s="33"/>
      <c r="X147" s="34"/>
      <c r="Y147" s="35"/>
      <c r="Z147" s="35"/>
      <c r="AA147" s="35"/>
      <c r="AB147" s="240"/>
      <c r="AC147" s="36"/>
      <c r="AD147" s="26" t="str">
        <f>IF(M147="", "Error: Task name cannot be empty.", "")</f>
        <v/>
      </c>
    </row>
    <row r="148" spans="1:30" s="15" customFormat="1" ht="1.5" hidden="1" customHeight="1" outlineLevel="2" x14ac:dyDescent="0.3">
      <c r="A148" s="93" t="s">
        <v>101</v>
      </c>
      <c r="B148" s="21"/>
      <c r="C148" s="84"/>
      <c r="D148" s="84"/>
      <c r="E148" s="84"/>
      <c r="F148" s="83"/>
      <c r="G148" s="32"/>
      <c r="H148" s="32"/>
      <c r="I148" s="32"/>
      <c r="J148" s="32"/>
      <c r="K148" s="32"/>
      <c r="L148" s="175">
        <f ca="1">L147</f>
        <v>10</v>
      </c>
      <c r="M148" s="176" t="s">
        <v>105</v>
      </c>
      <c r="N148" s="173"/>
      <c r="O148" s="174"/>
      <c r="P148" s="33"/>
      <c r="Q148" s="33"/>
      <c r="R148" s="33"/>
      <c r="S148" s="33"/>
      <c r="T148" s="167"/>
      <c r="U148" s="33"/>
      <c r="V148" s="33"/>
      <c r="W148" s="33"/>
      <c r="X148" s="34"/>
      <c r="Y148" s="35"/>
      <c r="Z148" s="35"/>
      <c r="AA148" s="35"/>
      <c r="AB148" s="36"/>
      <c r="AC148" s="36"/>
      <c r="AD148" s="26"/>
    </row>
    <row r="149" spans="1:30" ht="72" hidden="1" outlineLevel="2" x14ac:dyDescent="0.3">
      <c r="A149" s="93" t="s">
        <v>0</v>
      </c>
      <c r="B149" s="21"/>
      <c r="C149" s="85"/>
      <c r="D149" s="85"/>
      <c r="E149" s="85"/>
      <c r="F149" s="86"/>
      <c r="G149" s="22" t="s">
        <v>23</v>
      </c>
      <c r="H149" s="22" t="s">
        <v>23</v>
      </c>
      <c r="I149" s="23" t="s">
        <v>23</v>
      </c>
      <c r="J149" s="22" t="s">
        <v>23</v>
      </c>
      <c r="K149" s="38"/>
      <c r="L149" s="22"/>
      <c r="M149" s="286" t="str">
        <f ca="1">IFERROR(OFFSET(M149,-1,,1,1)+0.1,OFFSET(M149,-1,-1,1,1)&amp;".1")</f>
        <v>10.1</v>
      </c>
      <c r="N149" s="23" t="s">
        <v>616</v>
      </c>
      <c r="O149" s="23"/>
      <c r="P149" s="23"/>
      <c r="Q149" s="144">
        <v>4</v>
      </c>
      <c r="R149" s="137"/>
      <c r="S149" s="169">
        <f>CEILING((IF(J149="Yes", 0, IF(H149="-",AA149,AA149+AA149*VLOOKUP(H149,BUFFERS_BY_TYPE,2,FALSE)))) +
   (IF(J149="Yes", 0, IF(H149="-",AA149,AA149+AA149*VLOOKUP(H149,BUFFERS_BY_TYPE,2,FALSE))))*VLOOKUP($S$5, SALES_CALL_SCALE_ARRAY, 2,FALSE),0.25)</f>
        <v>60</v>
      </c>
      <c r="T149" s="170"/>
      <c r="U149" s="24">
        <v>0</v>
      </c>
      <c r="V149" s="24">
        <v>1</v>
      </c>
      <c r="W149" s="24">
        <v>0</v>
      </c>
      <c r="X149" s="168">
        <v>15</v>
      </c>
      <c r="Y149" s="169">
        <f>CEILING((IF(P149=AS_DEV_EFFORT, DEV_EFFORT*Q149%,
                           IF(P149=AS_DURATION_EFFORT, (MANUAL_DURATION*5)*Q149%,
                                    (IF(Q149&lt;=1,X149,
                                          IF(SUM(U149:W149)=0,(Q149*X149),
                                               (((Q149*U149)*(X149+(X149*EXTRA_FOR_H)))+
                                               ((Q149*V149)*X149)+
                                               ((Q149*W149)*(X149-(X149*LESS_FOR_L)))
                                    )*IF(R149=0,1,R149))))))+Z149), 0.25)</f>
        <v>60</v>
      </c>
      <c r="Z149" s="25"/>
      <c r="AA149" s="169">
        <f>Y149+Y149*VLOOKUP(I149,EXTRAS_ARRAY,2,FALSE)</f>
        <v>60</v>
      </c>
      <c r="AB149" s="23"/>
      <c r="AC149" s="37"/>
      <c r="AD149" s="26" t="str">
        <f>IF(J149&lt;&gt;"Yes",
IF(S149&lt;=0,"Error: Effort value is not defined or is invalid.",
IF(AND(SUM(U149:W149)&gt;0,SUM(U149:W149)&lt;&gt;1),"Error: Complexity % distribution should sum to 100%.",
IF(AND(P149=AS_DEV_EFFORT,X149&lt;&gt;0),"Error: PDs should not be defined when defining as dev effort %.",
IF(AND(P149=AS_DURATION_EFFORT,X149&lt;&gt;0),"Error: PDs should not be defined when defining as duration effort %.","")))))</f>
        <v/>
      </c>
    </row>
    <row r="150" spans="1:30" s="11" customFormat="1" ht="7.5" hidden="1" customHeight="1" outlineLevel="2" x14ac:dyDescent="0.3">
      <c r="A150" s="93" t="s">
        <v>132</v>
      </c>
      <c r="B150" s="18"/>
      <c r="C150" s="78"/>
      <c r="D150" s="78"/>
      <c r="E150" s="78"/>
      <c r="F150" s="78"/>
      <c r="G150" s="10"/>
      <c r="H150" s="10"/>
      <c r="I150" s="10"/>
      <c r="J150" s="10"/>
      <c r="K150" s="10"/>
      <c r="L150" s="10"/>
      <c r="M150" s="287"/>
      <c r="N150" s="10"/>
      <c r="O150" s="10"/>
      <c r="P150" s="10"/>
      <c r="Q150" s="10"/>
      <c r="R150" s="10"/>
      <c r="S150" s="10"/>
      <c r="T150" s="18"/>
      <c r="U150" s="10"/>
      <c r="V150" s="10"/>
      <c r="W150" s="10"/>
      <c r="X150" s="18"/>
      <c r="Y150" s="10"/>
      <c r="Z150" s="10"/>
      <c r="AA150" s="10"/>
      <c r="AB150" s="60"/>
      <c r="AC150" s="60"/>
      <c r="AD150" s="12"/>
    </row>
    <row r="151" spans="1:30" s="17" customFormat="1" ht="15.6" hidden="1" outlineLevel="1" x14ac:dyDescent="0.3">
      <c r="A151" s="93" t="s">
        <v>100</v>
      </c>
      <c r="B151" s="21"/>
      <c r="C151" s="84"/>
      <c r="D151" s="84"/>
      <c r="E151" s="84"/>
      <c r="F151" s="83"/>
      <c r="G151" s="32"/>
      <c r="H151" s="32"/>
      <c r="I151" s="32"/>
      <c r="J151" s="32"/>
      <c r="K151" s="32"/>
      <c r="L151" s="20">
        <f ca="1">LOOKUP(1000,INDIRECT("L1:"&amp;CELL("address",INDIRECT("R[-1]C",FALSE))))+1</f>
        <v>11</v>
      </c>
      <c r="M151" s="301" t="s">
        <v>617</v>
      </c>
      <c r="N151" s="301"/>
      <c r="O151" s="5"/>
      <c r="P151" s="33"/>
      <c r="Q151" s="33"/>
      <c r="R151" s="33"/>
      <c r="S151" s="33"/>
      <c r="T151" s="167">
        <f>IF($S$6="Exclude", SUMIFS(S152:S154, J152:J154, "&lt;&gt;Yes", G152:G154, "&lt;&gt;Yes"), SUMIFS(S152:S154, J152:J154, "&lt;&gt;Yes"))</f>
        <v>60</v>
      </c>
      <c r="U151" s="33"/>
      <c r="V151" s="33"/>
      <c r="W151" s="33"/>
      <c r="X151" s="34"/>
      <c r="Y151" s="35"/>
      <c r="Z151" s="35"/>
      <c r="AA151" s="35"/>
      <c r="AB151" s="240"/>
      <c r="AC151" s="36"/>
      <c r="AD151" s="26" t="str">
        <f>IF(M151="", "Error: Task name cannot be empty.", "")</f>
        <v/>
      </c>
    </row>
    <row r="152" spans="1:30" s="15" customFormat="1" ht="1.5" hidden="1" customHeight="1" outlineLevel="2" x14ac:dyDescent="0.3">
      <c r="A152" s="93" t="s">
        <v>101</v>
      </c>
      <c r="B152" s="21"/>
      <c r="C152" s="84"/>
      <c r="D152" s="84"/>
      <c r="E152" s="84"/>
      <c r="F152" s="83"/>
      <c r="G152" s="32"/>
      <c r="H152" s="32"/>
      <c r="I152" s="32"/>
      <c r="J152" s="32"/>
      <c r="K152" s="32"/>
      <c r="L152" s="175">
        <f ca="1">L151</f>
        <v>11</v>
      </c>
      <c r="M152" s="176" t="s">
        <v>105</v>
      </c>
      <c r="N152" s="173"/>
      <c r="O152" s="174"/>
      <c r="P152" s="33"/>
      <c r="Q152" s="33"/>
      <c r="R152" s="33"/>
      <c r="S152" s="33"/>
      <c r="T152" s="167"/>
      <c r="U152" s="33"/>
      <c r="V152" s="33"/>
      <c r="W152" s="33"/>
      <c r="X152" s="34"/>
      <c r="Y152" s="35"/>
      <c r="Z152" s="35"/>
      <c r="AA152" s="35"/>
      <c r="AB152" s="36"/>
      <c r="AC152" s="36"/>
      <c r="AD152" s="26"/>
    </row>
    <row r="153" spans="1:30" ht="57.6" hidden="1" outlineLevel="2" x14ac:dyDescent="0.3">
      <c r="A153" s="93" t="s">
        <v>0</v>
      </c>
      <c r="B153" s="21"/>
      <c r="C153" s="85"/>
      <c r="D153" s="85"/>
      <c r="E153" s="85"/>
      <c r="F153" s="86"/>
      <c r="G153" s="22" t="s">
        <v>23</v>
      </c>
      <c r="H153" s="22" t="s">
        <v>23</v>
      </c>
      <c r="I153" s="23" t="s">
        <v>23</v>
      </c>
      <c r="J153" s="22" t="s">
        <v>23</v>
      </c>
      <c r="K153" s="38"/>
      <c r="L153" s="22"/>
      <c r="M153" s="286" t="str">
        <f ca="1">IFERROR(OFFSET(M153,-1,,1,1)+0.1,OFFSET(M153,-1,-1,1,1)&amp;".1")</f>
        <v>11.1</v>
      </c>
      <c r="N153" s="23" t="s">
        <v>618</v>
      </c>
      <c r="O153" s="23"/>
      <c r="P153" s="23"/>
      <c r="Q153" s="144">
        <v>4</v>
      </c>
      <c r="R153" s="137"/>
      <c r="S153" s="169">
        <f>CEILING((IF(J153="Yes", 0, IF(H153="-",AA153,AA153+AA153*VLOOKUP(H153,BUFFERS_BY_TYPE,2,FALSE)))) +
   (IF(J153="Yes", 0, IF(H153="-",AA153,AA153+AA153*VLOOKUP(H153,BUFFERS_BY_TYPE,2,FALSE))))*VLOOKUP($S$5, SALES_CALL_SCALE_ARRAY, 2,FALSE),0.25)</f>
        <v>60</v>
      </c>
      <c r="T153" s="170"/>
      <c r="U153" s="24">
        <v>0</v>
      </c>
      <c r="V153" s="24">
        <v>1</v>
      </c>
      <c r="W153" s="24">
        <v>0</v>
      </c>
      <c r="X153" s="168">
        <v>15</v>
      </c>
      <c r="Y153" s="169">
        <f>CEILING((IF(P153=AS_DEV_EFFORT, DEV_EFFORT*Q153%,
                           IF(P153=AS_DURATION_EFFORT, (MANUAL_DURATION*5)*Q153%,
                                    (IF(Q153&lt;=1,X153,
                                          IF(SUM(U153:W153)=0,(Q153*X153),
                                               (((Q153*U153)*(X153+(X153*EXTRA_FOR_H)))+
                                               ((Q153*V153)*X153)+
                                               ((Q153*W153)*(X153-(X153*LESS_FOR_L)))
                                    )*IF(R153=0,1,R153))))))+Z153), 0.25)</f>
        <v>60</v>
      </c>
      <c r="Z153" s="25"/>
      <c r="AA153" s="169">
        <f>Y153+Y153*VLOOKUP(I153,EXTRAS_ARRAY,2,FALSE)</f>
        <v>60</v>
      </c>
      <c r="AB153" s="23"/>
      <c r="AC153" s="37"/>
      <c r="AD153" s="26" t="str">
        <f>IF(J153&lt;&gt;"Yes",
IF(S153&lt;=0,"Error: Effort value is not defined or is invalid.",
IF(AND(SUM(U153:W153)&gt;0,SUM(U153:W153)&lt;&gt;1),"Error: Complexity % distribution should sum to 100%.",
IF(AND(P153=AS_DEV_EFFORT,X153&lt;&gt;0),"Error: PDs should not be defined when defining as dev effort %.",
IF(AND(P153=AS_DURATION_EFFORT,X153&lt;&gt;0),"Error: PDs should not be defined when defining as duration effort %.","")))))</f>
        <v/>
      </c>
    </row>
    <row r="154" spans="1:30" s="11" customFormat="1" ht="7.5" hidden="1" customHeight="1" outlineLevel="2" x14ac:dyDescent="0.3">
      <c r="A154" s="93" t="s">
        <v>132</v>
      </c>
      <c r="B154" s="18"/>
      <c r="C154" s="78"/>
      <c r="D154" s="78"/>
      <c r="E154" s="78"/>
      <c r="F154" s="78"/>
      <c r="G154" s="10"/>
      <c r="H154" s="10"/>
      <c r="I154" s="10"/>
      <c r="J154" s="10"/>
      <c r="K154" s="10"/>
      <c r="L154" s="10"/>
      <c r="M154" s="287"/>
      <c r="N154" s="10"/>
      <c r="O154" s="10"/>
      <c r="P154" s="10"/>
      <c r="Q154" s="10"/>
      <c r="R154" s="10"/>
      <c r="S154" s="10"/>
      <c r="T154" s="18"/>
      <c r="U154" s="10"/>
      <c r="V154" s="10"/>
      <c r="W154" s="10"/>
      <c r="X154" s="18"/>
      <c r="Y154" s="10"/>
      <c r="Z154" s="10"/>
      <c r="AA154" s="10"/>
      <c r="AB154" s="60"/>
      <c r="AC154" s="60"/>
      <c r="AD154" s="12"/>
    </row>
    <row r="155" spans="1:30" s="17" customFormat="1" ht="15.6" hidden="1" outlineLevel="1" x14ac:dyDescent="0.3">
      <c r="A155" s="93" t="s">
        <v>100</v>
      </c>
      <c r="B155" s="21"/>
      <c r="C155" s="84"/>
      <c r="D155" s="84"/>
      <c r="E155" s="84"/>
      <c r="F155" s="83"/>
      <c r="G155" s="32"/>
      <c r="H155" s="32"/>
      <c r="I155" s="32"/>
      <c r="J155" s="32"/>
      <c r="K155" s="32"/>
      <c r="L155" s="20">
        <f ca="1">LOOKUP(1000,INDIRECT("L1:"&amp;CELL("address",INDIRECT("R[-1]C",FALSE))))+1</f>
        <v>12</v>
      </c>
      <c r="M155" s="301" t="s">
        <v>619</v>
      </c>
      <c r="N155" s="301"/>
      <c r="O155" s="5"/>
      <c r="P155" s="33"/>
      <c r="Q155" s="33"/>
      <c r="R155" s="33"/>
      <c r="S155" s="33"/>
      <c r="T155" s="167">
        <f>IF($S$6="Exclude", SUMIFS(S156:S158, J156:J158, "&lt;&gt;Yes", G156:G158, "&lt;&gt;Yes"), SUMIFS(S156:S158, J156:J158, "&lt;&gt;Yes"))</f>
        <v>40</v>
      </c>
      <c r="U155" s="33"/>
      <c r="V155" s="33"/>
      <c r="W155" s="33"/>
      <c r="X155" s="34"/>
      <c r="Y155" s="35"/>
      <c r="Z155" s="35"/>
      <c r="AA155" s="35"/>
      <c r="AB155" s="240"/>
      <c r="AC155" s="36"/>
      <c r="AD155" s="26" t="str">
        <f>IF(M155="", "Error: Task name cannot be empty.", "")</f>
        <v/>
      </c>
    </row>
    <row r="156" spans="1:30" s="15" customFormat="1" ht="1.5" hidden="1" customHeight="1" outlineLevel="2" x14ac:dyDescent="0.3">
      <c r="A156" s="93" t="s">
        <v>101</v>
      </c>
      <c r="B156" s="21"/>
      <c r="C156" s="84"/>
      <c r="D156" s="84"/>
      <c r="E156" s="84"/>
      <c r="F156" s="83"/>
      <c r="G156" s="32"/>
      <c r="H156" s="32"/>
      <c r="I156" s="32"/>
      <c r="J156" s="32"/>
      <c r="K156" s="32"/>
      <c r="L156" s="175">
        <f ca="1">L155</f>
        <v>12</v>
      </c>
      <c r="M156" s="176" t="s">
        <v>105</v>
      </c>
      <c r="N156" s="173"/>
      <c r="O156" s="174"/>
      <c r="P156" s="33"/>
      <c r="Q156" s="33"/>
      <c r="R156" s="33"/>
      <c r="S156" s="33"/>
      <c r="T156" s="167"/>
      <c r="U156" s="33"/>
      <c r="V156" s="33"/>
      <c r="W156" s="33"/>
      <c r="X156" s="34"/>
      <c r="Y156" s="35"/>
      <c r="Z156" s="35"/>
      <c r="AA156" s="35"/>
      <c r="AB156" s="36"/>
      <c r="AC156" s="36"/>
      <c r="AD156" s="26"/>
    </row>
    <row r="157" spans="1:30" ht="57.6" hidden="1" outlineLevel="2" x14ac:dyDescent="0.3">
      <c r="A157" s="93" t="s">
        <v>0</v>
      </c>
      <c r="B157" s="21"/>
      <c r="C157" s="85"/>
      <c r="D157" s="85"/>
      <c r="E157" s="85"/>
      <c r="F157" s="86"/>
      <c r="G157" s="22" t="s">
        <v>23</v>
      </c>
      <c r="H157" s="22" t="s">
        <v>23</v>
      </c>
      <c r="I157" s="23" t="s">
        <v>23</v>
      </c>
      <c r="J157" s="22" t="s">
        <v>23</v>
      </c>
      <c r="K157" s="38"/>
      <c r="L157" s="22"/>
      <c r="M157" s="286" t="str">
        <f ca="1">IFERROR(OFFSET(M157,-1,,1,1)+0.1,OFFSET(M157,-1,-1,1,1)&amp;".1")</f>
        <v>12.1</v>
      </c>
      <c r="N157" s="23" t="s">
        <v>620</v>
      </c>
      <c r="O157" s="23"/>
      <c r="P157" s="23"/>
      <c r="Q157" s="144">
        <v>4</v>
      </c>
      <c r="R157" s="137"/>
      <c r="S157" s="169">
        <f>CEILING((IF(J157="Yes", 0, IF(H157="-",AA157,AA157+AA157*VLOOKUP(H157,BUFFERS_BY_TYPE,2,FALSE)))) +
   (IF(J157="Yes", 0, IF(H157="-",AA157,AA157+AA157*VLOOKUP(H157,BUFFERS_BY_TYPE,2,FALSE))))*VLOOKUP($S$5, SALES_CALL_SCALE_ARRAY, 2,FALSE),0.25)</f>
        <v>40</v>
      </c>
      <c r="T157" s="170"/>
      <c r="U157" s="24">
        <v>0</v>
      </c>
      <c r="V157" s="24">
        <v>1</v>
      </c>
      <c r="W157" s="24">
        <v>0</v>
      </c>
      <c r="X157" s="168">
        <v>10</v>
      </c>
      <c r="Y157" s="169">
        <f>CEILING((IF(P157=AS_DEV_EFFORT, DEV_EFFORT*Q157%,
                           IF(P157=AS_DURATION_EFFORT, (MANUAL_DURATION*5)*Q157%,
                                    (IF(Q157&lt;=1,X157,
                                          IF(SUM(U157:W157)=0,(Q157*X157),
                                               (((Q157*U157)*(X157+(X157*EXTRA_FOR_H)))+
                                               ((Q157*V157)*X157)+
                                               ((Q157*W157)*(X157-(X157*LESS_FOR_L)))
                                    )*IF(R157=0,1,R157))))))+Z157), 0.25)</f>
        <v>40</v>
      </c>
      <c r="Z157" s="25"/>
      <c r="AA157" s="169">
        <f>Y157+Y157*VLOOKUP(I157,EXTRAS_ARRAY,2,FALSE)</f>
        <v>40</v>
      </c>
      <c r="AB157" s="23"/>
      <c r="AC157" s="37"/>
      <c r="AD157" s="26" t="str">
        <f>IF(J157&lt;&gt;"Yes",
IF(S157&lt;=0,"Error: Effort value is not defined or is invalid.",
IF(AND(SUM(U157:W157)&gt;0,SUM(U157:W157)&lt;&gt;1),"Error: Complexity % distribution should sum to 100%.",
IF(AND(P157=AS_DEV_EFFORT,X157&lt;&gt;0),"Error: PDs should not be defined when defining as dev effort %.",
IF(AND(P157=AS_DURATION_EFFORT,X157&lt;&gt;0),"Error: PDs should not be defined when defining as duration effort %.","")))))</f>
        <v/>
      </c>
    </row>
    <row r="158" spans="1:30" s="11" customFormat="1" ht="7.5" hidden="1" customHeight="1" outlineLevel="2" x14ac:dyDescent="0.3">
      <c r="A158" s="93" t="s">
        <v>132</v>
      </c>
      <c r="B158" s="18"/>
      <c r="C158" s="78"/>
      <c r="D158" s="78"/>
      <c r="E158" s="78"/>
      <c r="F158" s="78"/>
      <c r="G158" s="10"/>
      <c r="H158" s="10"/>
      <c r="I158" s="10"/>
      <c r="J158" s="10"/>
      <c r="K158" s="10"/>
      <c r="L158" s="10"/>
      <c r="M158" s="287"/>
      <c r="N158" s="10"/>
      <c r="O158" s="10"/>
      <c r="P158" s="10"/>
      <c r="Q158" s="10"/>
      <c r="R158" s="10"/>
      <c r="S158" s="10"/>
      <c r="T158" s="18"/>
      <c r="U158" s="10"/>
      <c r="V158" s="10"/>
      <c r="W158" s="10"/>
      <c r="X158" s="18"/>
      <c r="Y158" s="10"/>
      <c r="Z158" s="10"/>
      <c r="AA158" s="10"/>
      <c r="AB158" s="60"/>
      <c r="AC158" s="60"/>
      <c r="AD158" s="12"/>
    </row>
    <row r="159" spans="1:30" s="17" customFormat="1" ht="15.6" hidden="1" outlineLevel="1" x14ac:dyDescent="0.3">
      <c r="A159" s="93" t="s">
        <v>100</v>
      </c>
      <c r="B159" s="21"/>
      <c r="C159" s="84"/>
      <c r="D159" s="84"/>
      <c r="E159" s="84"/>
      <c r="F159" s="83"/>
      <c r="G159" s="32"/>
      <c r="H159" s="32"/>
      <c r="I159" s="32"/>
      <c r="J159" s="32"/>
      <c r="K159" s="32"/>
      <c r="L159" s="20">
        <f ca="1">LOOKUP(1000,INDIRECT("L1:"&amp;CELL("address",INDIRECT("R[-1]C",FALSE))))+1</f>
        <v>13</v>
      </c>
      <c r="M159" s="301" t="s">
        <v>621</v>
      </c>
      <c r="N159" s="301"/>
      <c r="O159" s="5"/>
      <c r="P159" s="33"/>
      <c r="Q159" s="33"/>
      <c r="R159" s="33"/>
      <c r="S159" s="33"/>
      <c r="T159" s="167">
        <f>IF($S$6="Exclude", SUMIFS(S160:S162, J160:J162, "&lt;&gt;Yes", G160:G162, "&lt;&gt;Yes"), SUMIFS(S160:S162, J160:J162, "&lt;&gt;Yes"))</f>
        <v>10</v>
      </c>
      <c r="U159" s="33"/>
      <c r="V159" s="33"/>
      <c r="W159" s="33"/>
      <c r="X159" s="34"/>
      <c r="Y159" s="35"/>
      <c r="Z159" s="35"/>
      <c r="AA159" s="35"/>
      <c r="AB159" s="240"/>
      <c r="AC159" s="36"/>
      <c r="AD159" s="26" t="str">
        <f>IF(M159="", "Error: Task name cannot be empty.", "")</f>
        <v/>
      </c>
    </row>
    <row r="160" spans="1:30" s="15" customFormat="1" ht="1.5" hidden="1" customHeight="1" outlineLevel="2" x14ac:dyDescent="0.3">
      <c r="A160" s="93" t="s">
        <v>101</v>
      </c>
      <c r="B160" s="21"/>
      <c r="C160" s="84"/>
      <c r="D160" s="84"/>
      <c r="E160" s="84"/>
      <c r="F160" s="83"/>
      <c r="G160" s="32"/>
      <c r="H160" s="32"/>
      <c r="I160" s="32"/>
      <c r="J160" s="32"/>
      <c r="K160" s="32"/>
      <c r="L160" s="175">
        <f ca="1">L159</f>
        <v>13</v>
      </c>
      <c r="M160" s="176" t="s">
        <v>105</v>
      </c>
      <c r="N160" s="173"/>
      <c r="O160" s="174"/>
      <c r="P160" s="33"/>
      <c r="Q160" s="33"/>
      <c r="R160" s="33"/>
      <c r="S160" s="33"/>
      <c r="T160" s="167"/>
      <c r="U160" s="33"/>
      <c r="V160" s="33"/>
      <c r="W160" s="33"/>
      <c r="X160" s="34"/>
      <c r="Y160" s="35"/>
      <c r="Z160" s="35"/>
      <c r="AA160" s="35"/>
      <c r="AB160" s="36"/>
      <c r="AC160" s="36"/>
      <c r="AD160" s="26"/>
    </row>
    <row r="161" spans="1:30" ht="28.8" hidden="1" outlineLevel="2" x14ac:dyDescent="0.3">
      <c r="A161" s="93" t="s">
        <v>0</v>
      </c>
      <c r="B161" s="21"/>
      <c r="C161" s="85"/>
      <c r="D161" s="85"/>
      <c r="E161" s="85"/>
      <c r="F161" s="86"/>
      <c r="G161" s="22" t="s">
        <v>23</v>
      </c>
      <c r="H161" s="22" t="s">
        <v>23</v>
      </c>
      <c r="I161" s="23" t="s">
        <v>23</v>
      </c>
      <c r="J161" s="22" t="s">
        <v>23</v>
      </c>
      <c r="K161" s="38"/>
      <c r="L161" s="22"/>
      <c r="M161" s="286" t="str">
        <f ca="1">IFERROR(OFFSET(M161,-1,,1,1)+0.1,OFFSET(M161,-1,-1,1,1)&amp;".1")</f>
        <v>13.1</v>
      </c>
      <c r="N161" s="23" t="s">
        <v>622</v>
      </c>
      <c r="O161" s="23"/>
      <c r="P161" s="23"/>
      <c r="Q161" s="144">
        <v>4</v>
      </c>
      <c r="R161" s="137"/>
      <c r="S161" s="169">
        <f>CEILING((IF(J161="Yes", 0, IF(H161="-",AA161,AA161+AA161*VLOOKUP(H161,BUFFERS_BY_TYPE,2,FALSE)))) +
   (IF(J161="Yes", 0, IF(H161="-",AA161,AA161+AA161*VLOOKUP(H161,BUFFERS_BY_TYPE,2,FALSE))))*VLOOKUP($S$5, SALES_CALL_SCALE_ARRAY, 2,FALSE),0.25)</f>
        <v>10</v>
      </c>
      <c r="T161" s="170"/>
      <c r="U161" s="24">
        <v>0</v>
      </c>
      <c r="V161" s="24">
        <v>1</v>
      </c>
      <c r="W161" s="24">
        <v>0</v>
      </c>
      <c r="X161" s="168">
        <v>2.5</v>
      </c>
      <c r="Y161" s="169">
        <f>CEILING((IF(P161=AS_DEV_EFFORT, DEV_EFFORT*Q161%,
                           IF(P161=AS_DURATION_EFFORT, (MANUAL_DURATION*5)*Q161%,
                                    (IF(Q161&lt;=1,X161,
                                          IF(SUM(U161:W161)=0,(Q161*X161),
                                               (((Q161*U161)*(X161+(X161*EXTRA_FOR_H)))+
                                               ((Q161*V161)*X161)+
                                               ((Q161*W161)*(X161-(X161*LESS_FOR_L)))
                                    )*IF(R161=0,1,R161))))))+Z161), 0.25)</f>
        <v>10</v>
      </c>
      <c r="Z161" s="25"/>
      <c r="AA161" s="169">
        <f>Y161+Y161*VLOOKUP(I161,EXTRAS_ARRAY,2,FALSE)</f>
        <v>10</v>
      </c>
      <c r="AB161" s="23" t="s">
        <v>623</v>
      </c>
      <c r="AC161" s="37"/>
      <c r="AD161" s="26" t="str">
        <f>IF(J161&lt;&gt;"Yes",
IF(S161&lt;=0,"Error: Effort value is not defined or is invalid.",
IF(AND(SUM(U161:W161)&gt;0,SUM(U161:W161)&lt;&gt;1),"Error: Complexity % distribution should sum to 100%.",
IF(AND(P161=AS_DEV_EFFORT,X161&lt;&gt;0),"Error: PDs should not be defined when defining as dev effort %.",
IF(AND(P161=AS_DURATION_EFFORT,X161&lt;&gt;0),"Error: PDs should not be defined when defining as duration effort %.","")))))</f>
        <v/>
      </c>
    </row>
    <row r="162" spans="1:30" s="11" customFormat="1" ht="7.5" hidden="1" customHeight="1" outlineLevel="2" x14ac:dyDescent="0.3">
      <c r="A162" s="93" t="s">
        <v>132</v>
      </c>
      <c r="B162" s="18"/>
      <c r="C162" s="78"/>
      <c r="D162" s="78"/>
      <c r="E162" s="78"/>
      <c r="F162" s="78"/>
      <c r="G162" s="10"/>
      <c r="H162" s="10"/>
      <c r="I162" s="10"/>
      <c r="J162" s="10"/>
      <c r="K162" s="10"/>
      <c r="L162" s="10"/>
      <c r="M162" s="287"/>
      <c r="N162" s="10"/>
      <c r="O162" s="10"/>
      <c r="P162" s="10"/>
      <c r="Q162" s="10"/>
      <c r="R162" s="10"/>
      <c r="S162" s="10"/>
      <c r="T162" s="18"/>
      <c r="U162" s="10"/>
      <c r="V162" s="10"/>
      <c r="W162" s="10"/>
      <c r="X162" s="18"/>
      <c r="Y162" s="10"/>
      <c r="Z162" s="10"/>
      <c r="AA162" s="10"/>
      <c r="AB162" s="60"/>
      <c r="AC162" s="60"/>
      <c r="AD162" s="12"/>
    </row>
    <row r="163" spans="1:30" s="17" customFormat="1" ht="15.6" hidden="1" outlineLevel="1" x14ac:dyDescent="0.3">
      <c r="A163" s="93" t="s">
        <v>107</v>
      </c>
      <c r="B163" s="21"/>
      <c r="C163" s="84"/>
      <c r="D163" s="84"/>
      <c r="E163" s="84"/>
      <c r="F163" s="83"/>
      <c r="G163" s="185"/>
      <c r="H163" s="185"/>
      <c r="I163" s="185"/>
      <c r="J163" s="185"/>
      <c r="K163" s="185"/>
      <c r="L163" s="92" t="s">
        <v>109</v>
      </c>
      <c r="M163" s="300" t="s">
        <v>624</v>
      </c>
      <c r="N163" s="300"/>
      <c r="O163" s="87"/>
      <c r="P163" s="88"/>
      <c r="Q163" s="88"/>
      <c r="R163" s="88"/>
      <c r="S163" s="298">
        <f>SUMGROUP(ROW(), "T")</f>
        <v>50</v>
      </c>
      <c r="T163" s="298"/>
      <c r="U163" s="299"/>
      <c r="V163" s="299"/>
      <c r="W163" s="299"/>
      <c r="X163" s="89"/>
      <c r="Y163" s="90"/>
      <c r="Z163" s="90"/>
      <c r="AA163" s="90"/>
      <c r="AB163" s="243"/>
      <c r="AC163" s="91"/>
      <c r="AD163" s="26" t="str">
        <f>IF(M163="", "Error: Module name cannot be empty.", "")</f>
        <v/>
      </c>
    </row>
    <row r="164" spans="1:30" s="17" customFormat="1" ht="15.6" hidden="1" outlineLevel="1" x14ac:dyDescent="0.3">
      <c r="A164" s="93" t="s">
        <v>100</v>
      </c>
      <c r="B164" s="21"/>
      <c r="C164" s="84"/>
      <c r="D164" s="84"/>
      <c r="E164" s="84"/>
      <c r="F164" s="83"/>
      <c r="G164" s="32"/>
      <c r="H164" s="32"/>
      <c r="I164" s="32"/>
      <c r="J164" s="32"/>
      <c r="K164" s="32"/>
      <c r="L164" s="20">
        <f ca="1">LOOKUP(1000,INDIRECT("L1:"&amp;CELL("address",INDIRECT("R[-1]C",FALSE))))+1</f>
        <v>14</v>
      </c>
      <c r="M164" s="301" t="s">
        <v>625</v>
      </c>
      <c r="N164" s="301"/>
      <c r="O164" s="5"/>
      <c r="P164" s="33"/>
      <c r="Q164" s="33"/>
      <c r="R164" s="33"/>
      <c r="S164" s="33"/>
      <c r="T164" s="167">
        <f>IF($S$6="Exclude", SUMIFS(S165:S167, J165:J167, "&lt;&gt;Yes", G165:G167, "&lt;&gt;Yes"), SUMIFS(S165:S167, J165:J167, "&lt;&gt;Yes"))</f>
        <v>50</v>
      </c>
      <c r="U164" s="33"/>
      <c r="V164" s="33"/>
      <c r="W164" s="33"/>
      <c r="X164" s="34"/>
      <c r="Y164" s="35"/>
      <c r="Z164" s="35"/>
      <c r="AA164" s="35"/>
      <c r="AB164" s="240"/>
      <c r="AC164" s="36"/>
      <c r="AD164" s="26" t="str">
        <f>IF(M164="", "Error: Task name cannot be empty.", "")</f>
        <v/>
      </c>
    </row>
    <row r="165" spans="1:30" s="15" customFormat="1" ht="1.5" hidden="1" customHeight="1" outlineLevel="2" x14ac:dyDescent="0.3">
      <c r="A165" s="93" t="s">
        <v>101</v>
      </c>
      <c r="B165" s="21"/>
      <c r="C165" s="84"/>
      <c r="D165" s="84"/>
      <c r="E165" s="84"/>
      <c r="F165" s="83"/>
      <c r="G165" s="32"/>
      <c r="H165" s="32"/>
      <c r="I165" s="32"/>
      <c r="J165" s="32"/>
      <c r="K165" s="32"/>
      <c r="L165" s="175">
        <f ca="1">L164</f>
        <v>14</v>
      </c>
      <c r="M165" s="176" t="s">
        <v>105</v>
      </c>
      <c r="N165" s="173"/>
      <c r="O165" s="174"/>
      <c r="P165" s="33"/>
      <c r="Q165" s="33"/>
      <c r="R165" s="33"/>
      <c r="S165" s="33"/>
      <c r="T165" s="167"/>
      <c r="U165" s="33"/>
      <c r="V165" s="33"/>
      <c r="W165" s="33"/>
      <c r="X165" s="34"/>
      <c r="Y165" s="35"/>
      <c r="Z165" s="35"/>
      <c r="AA165" s="35"/>
      <c r="AB165" s="36"/>
      <c r="AC165" s="36"/>
      <c r="AD165" s="26"/>
    </row>
    <row r="166" spans="1:30" ht="72" hidden="1" outlineLevel="2" x14ac:dyDescent="0.3">
      <c r="A166" s="93" t="s">
        <v>0</v>
      </c>
      <c r="B166" s="21"/>
      <c r="C166" s="85"/>
      <c r="D166" s="85"/>
      <c r="E166" s="85"/>
      <c r="F166" s="86"/>
      <c r="G166" s="22" t="s">
        <v>23</v>
      </c>
      <c r="H166" s="22" t="s">
        <v>23</v>
      </c>
      <c r="I166" s="23" t="s">
        <v>23</v>
      </c>
      <c r="J166" s="22" t="s">
        <v>23</v>
      </c>
      <c r="K166" s="38"/>
      <c r="L166" s="22"/>
      <c r="M166" s="286" t="str">
        <f ca="1">IFERROR(OFFSET(M166,-1,,1,1)+0.1,OFFSET(M166,-1,-1,1,1)&amp;".1")</f>
        <v>14.1</v>
      </c>
      <c r="N166" s="23" t="s">
        <v>626</v>
      </c>
      <c r="O166" s="23"/>
      <c r="P166" s="23"/>
      <c r="Q166" s="144">
        <v>4</v>
      </c>
      <c r="R166" s="137"/>
      <c r="S166" s="169">
        <f>CEILING((IF(J166="Yes", 0, IF(H166="-",AA166,AA166+AA166*VLOOKUP(H166,BUFFERS_BY_TYPE,2,FALSE)))) +
   (IF(J166="Yes", 0, IF(H166="-",AA166,AA166+AA166*VLOOKUP(H166,BUFFERS_BY_TYPE,2,FALSE))))*VLOOKUP($S$5, SALES_CALL_SCALE_ARRAY, 2,FALSE),0.25)</f>
        <v>50</v>
      </c>
      <c r="T166" s="170"/>
      <c r="U166" s="24">
        <v>0</v>
      </c>
      <c r="V166" s="24">
        <v>1</v>
      </c>
      <c r="W166" s="24">
        <v>0</v>
      </c>
      <c r="X166" s="168">
        <v>15</v>
      </c>
      <c r="Y166" s="169">
        <f>CEILING((IF(P166=AS_DEV_EFFORT, DEV_EFFORT*Q166%,
                           IF(P166=AS_DURATION_EFFORT, (MANUAL_DURATION*5)*Q166%,
                                    (IF(Q166&lt;=1,X166,
                                          IF(SUM(U166:W166)=0,(Q166*X166),
                                               (((Q166*U166)*(X166+(X166*EXTRA_FOR_H)))+
                                               ((Q166*V166)*X166)+
                                               ((Q166*W166)*(X166-(X166*LESS_FOR_L)))
                                    )*IF(R166=0,1,R166))))))+Z166), 0.25)</f>
        <v>50</v>
      </c>
      <c r="Z166" s="25">
        <v>-10</v>
      </c>
      <c r="AA166" s="169">
        <f>Y166+Y166*VLOOKUP(I166,EXTRAS_ARRAY,2,FALSE)</f>
        <v>50</v>
      </c>
      <c r="AB166" s="23" t="s">
        <v>627</v>
      </c>
      <c r="AC166" s="37"/>
      <c r="AD166" s="26" t="str">
        <f>IF(J166&lt;&gt;"Yes",
IF(S166&lt;=0,"Error: Effort value is not defined or is invalid.",
IF(AND(SUM(U166:W166)&gt;0,SUM(U166:W166)&lt;&gt;1),"Error: Complexity % distribution should sum to 100%.",
IF(AND(P166=AS_DEV_EFFORT,X166&lt;&gt;0),"Error: PDs should not be defined when defining as dev effort %.",
IF(AND(P166=AS_DURATION_EFFORT,X166&lt;&gt;0),"Error: PDs should not be defined when defining as duration effort %.","")))))</f>
        <v/>
      </c>
    </row>
    <row r="167" spans="1:30" s="11" customFormat="1" ht="7.5" hidden="1" customHeight="1" outlineLevel="2" x14ac:dyDescent="0.3">
      <c r="A167" s="93" t="s">
        <v>132</v>
      </c>
      <c r="B167" s="18"/>
      <c r="C167" s="78"/>
      <c r="D167" s="78"/>
      <c r="E167" s="78"/>
      <c r="F167" s="78"/>
      <c r="G167" s="10"/>
      <c r="H167" s="10"/>
      <c r="I167" s="10"/>
      <c r="J167" s="10"/>
      <c r="K167" s="10"/>
      <c r="L167" s="10"/>
      <c r="M167" s="287"/>
      <c r="N167" s="10"/>
      <c r="O167" s="10"/>
      <c r="P167" s="10"/>
      <c r="Q167" s="10"/>
      <c r="R167" s="10"/>
      <c r="S167" s="10"/>
      <c r="T167" s="18"/>
      <c r="U167" s="10"/>
      <c r="V167" s="10"/>
      <c r="W167" s="10"/>
      <c r="X167" s="18"/>
      <c r="Y167" s="10"/>
      <c r="Z167" s="10"/>
      <c r="AA167" s="10"/>
      <c r="AB167" s="60"/>
      <c r="AC167" s="60"/>
      <c r="AD167" s="12"/>
    </row>
    <row r="168" spans="1:30" s="17" customFormat="1" ht="15.6" hidden="1" outlineLevel="1" x14ac:dyDescent="0.3">
      <c r="A168" s="93" t="s">
        <v>107</v>
      </c>
      <c r="B168" s="21"/>
      <c r="C168" s="84"/>
      <c r="D168" s="84"/>
      <c r="E168" s="84"/>
      <c r="F168" s="83"/>
      <c r="G168" s="185"/>
      <c r="H168" s="185"/>
      <c r="I168" s="185"/>
      <c r="J168" s="185"/>
      <c r="K168" s="185"/>
      <c r="L168" s="92" t="s">
        <v>109</v>
      </c>
      <c r="M168" s="300" t="s">
        <v>628</v>
      </c>
      <c r="N168" s="300"/>
      <c r="O168" s="87"/>
      <c r="P168" s="88"/>
      <c r="Q168" s="88"/>
      <c r="R168" s="88"/>
      <c r="S168" s="298">
        <f>SUMGROUP(ROW(), "T")</f>
        <v>25</v>
      </c>
      <c r="T168" s="298"/>
      <c r="U168" s="299"/>
      <c r="V168" s="299"/>
      <c r="W168" s="299"/>
      <c r="X168" s="89"/>
      <c r="Y168" s="90"/>
      <c r="Z168" s="90"/>
      <c r="AA168" s="90"/>
      <c r="AB168" s="243"/>
      <c r="AC168" s="91"/>
      <c r="AD168" s="26" t="str">
        <f>IF(M168="", "Error: Module name cannot be empty.", "")</f>
        <v/>
      </c>
    </row>
    <row r="169" spans="1:30" s="17" customFormat="1" ht="15.6" hidden="1" outlineLevel="1" x14ac:dyDescent="0.3">
      <c r="A169" s="93" t="s">
        <v>100</v>
      </c>
      <c r="B169" s="21"/>
      <c r="C169" s="84"/>
      <c r="D169" s="84"/>
      <c r="E169" s="84"/>
      <c r="F169" s="83"/>
      <c r="G169" s="32"/>
      <c r="H169" s="32"/>
      <c r="I169" s="32"/>
      <c r="J169" s="32"/>
      <c r="K169" s="32"/>
      <c r="L169" s="20">
        <f ca="1">LOOKUP(1000,INDIRECT("L1:"&amp;CELL("address",INDIRECT("R[-1]C",FALSE))))+1</f>
        <v>15</v>
      </c>
      <c r="M169" s="301" t="s">
        <v>629</v>
      </c>
      <c r="N169" s="301"/>
      <c r="O169" s="5"/>
      <c r="P169" s="33"/>
      <c r="Q169" s="33"/>
      <c r="R169" s="33"/>
      <c r="S169" s="33"/>
      <c r="T169" s="167">
        <f>IF($S$6="Exclude", SUMIFS(S170:S172, J170:J172, "&lt;&gt;Yes", G170:G172, "&lt;&gt;Yes"), SUMIFS(S170:S172, J170:J172, "&lt;&gt;Yes"))</f>
        <v>10</v>
      </c>
      <c r="U169" s="33"/>
      <c r="V169" s="33"/>
      <c r="W169" s="33"/>
      <c r="X169" s="34"/>
      <c r="Y169" s="35"/>
      <c r="Z169" s="35"/>
      <c r="AA169" s="35"/>
      <c r="AB169" s="240"/>
      <c r="AC169" s="36"/>
      <c r="AD169" s="26" t="str">
        <f>IF(M169="", "Error: Task name cannot be empty.", "")</f>
        <v/>
      </c>
    </row>
    <row r="170" spans="1:30" s="15" customFormat="1" ht="1.5" hidden="1" customHeight="1" outlineLevel="2" x14ac:dyDescent="0.3">
      <c r="A170" s="93" t="s">
        <v>101</v>
      </c>
      <c r="B170" s="21"/>
      <c r="C170" s="84"/>
      <c r="D170" s="84"/>
      <c r="E170" s="84"/>
      <c r="F170" s="83"/>
      <c r="G170" s="32"/>
      <c r="H170" s="32"/>
      <c r="I170" s="32"/>
      <c r="J170" s="32"/>
      <c r="K170" s="32"/>
      <c r="L170" s="175">
        <f ca="1">L169</f>
        <v>15</v>
      </c>
      <c r="M170" s="176" t="s">
        <v>105</v>
      </c>
      <c r="N170" s="173"/>
      <c r="O170" s="174"/>
      <c r="P170" s="33"/>
      <c r="Q170" s="33"/>
      <c r="R170" s="33"/>
      <c r="S170" s="33"/>
      <c r="T170" s="167"/>
      <c r="U170" s="33"/>
      <c r="V170" s="33"/>
      <c r="W170" s="33"/>
      <c r="X170" s="34"/>
      <c r="Y170" s="35"/>
      <c r="Z170" s="35"/>
      <c r="AA170" s="35"/>
      <c r="AB170" s="36"/>
      <c r="AC170" s="36"/>
      <c r="AD170" s="26"/>
    </row>
    <row r="171" spans="1:30" ht="15.6" hidden="1" outlineLevel="2" x14ac:dyDescent="0.3">
      <c r="A171" s="93" t="s">
        <v>0</v>
      </c>
      <c r="B171" s="21"/>
      <c r="C171" s="85"/>
      <c r="D171" s="85"/>
      <c r="E171" s="85"/>
      <c r="F171" s="86"/>
      <c r="G171" s="22" t="s">
        <v>23</v>
      </c>
      <c r="H171" s="22" t="s">
        <v>23</v>
      </c>
      <c r="I171" s="23" t="s">
        <v>23</v>
      </c>
      <c r="J171" s="22" t="s">
        <v>23</v>
      </c>
      <c r="K171" s="38"/>
      <c r="L171" s="22"/>
      <c r="M171" s="286" t="str">
        <f ca="1">IFERROR(OFFSET(M171,-1,,1,1)+0.1,OFFSET(M171,-1,-1,1,1)&amp;".1")</f>
        <v>15.1</v>
      </c>
      <c r="N171" s="23" t="s">
        <v>630</v>
      </c>
      <c r="O171" s="23"/>
      <c r="P171" s="23"/>
      <c r="Q171" s="144">
        <v>1</v>
      </c>
      <c r="R171" s="137"/>
      <c r="S171" s="169">
        <f>CEILING((IF(J171="Yes", 0, IF(H171="-",AA171,AA171+AA171*VLOOKUP(H171,BUFFERS_BY_TYPE,2,FALSE)))) +
   (IF(J171="Yes", 0, IF(H171="-",AA171,AA171+AA171*VLOOKUP(H171,BUFFERS_BY_TYPE,2,FALSE))))*VLOOKUP($S$5, SALES_CALL_SCALE_ARRAY, 2,FALSE),0.25)</f>
        <v>10</v>
      </c>
      <c r="T171" s="170"/>
      <c r="U171" s="24">
        <v>0</v>
      </c>
      <c r="V171" s="24">
        <v>1</v>
      </c>
      <c r="W171" s="24">
        <v>0</v>
      </c>
      <c r="X171" s="168">
        <v>10</v>
      </c>
      <c r="Y171" s="169">
        <f>CEILING((IF(P171=AS_DEV_EFFORT, DEV_EFFORT*Q171%,
                           IF(P171=AS_DURATION_EFFORT, (MANUAL_DURATION*5)*Q171%,
                                    (IF(Q171&lt;=1,X171,
                                          IF(SUM(U171:W171)=0,(Q171*X171),
                                               (((Q171*U171)*(X171+(X171*EXTRA_FOR_H)))+
                                               ((Q171*V171)*X171)+
                                               ((Q171*W171)*(X171-(X171*LESS_FOR_L)))
                                    )*IF(R171=0,1,R171))))))+Z171), 0.25)</f>
        <v>10</v>
      </c>
      <c r="Z171" s="25"/>
      <c r="AA171" s="169">
        <f>Y171+Y171*VLOOKUP(I171,EXTRAS_ARRAY,2,FALSE)</f>
        <v>10</v>
      </c>
      <c r="AB171" s="23"/>
      <c r="AC171" s="37"/>
      <c r="AD171" s="26" t="str">
        <f>IF(J171&lt;&gt;"Yes",
IF(S171&lt;=0,"Error: Effort value is not defined or is invalid.",
IF(AND(SUM(U171:W171)&gt;0,SUM(U171:W171)&lt;&gt;1),"Error: Complexity % distribution should sum to 100%.",
IF(AND(P171=AS_DEV_EFFORT,X171&lt;&gt;0),"Error: PDs should not be defined when defining as dev effort %.",
IF(AND(P171=AS_DURATION_EFFORT,X171&lt;&gt;0),"Error: PDs should not be defined when defining as duration effort %.","")))))</f>
        <v/>
      </c>
    </row>
    <row r="172" spans="1:30" s="11" customFormat="1" ht="7.5" hidden="1" customHeight="1" outlineLevel="2" x14ac:dyDescent="0.3">
      <c r="A172" s="93" t="s">
        <v>132</v>
      </c>
      <c r="B172" s="18"/>
      <c r="C172" s="78"/>
      <c r="D172" s="78"/>
      <c r="E172" s="78"/>
      <c r="F172" s="78"/>
      <c r="G172" s="10"/>
      <c r="H172" s="10"/>
      <c r="I172" s="10"/>
      <c r="J172" s="10"/>
      <c r="K172" s="10"/>
      <c r="L172" s="10"/>
      <c r="M172" s="287"/>
      <c r="N172" s="10"/>
      <c r="O172" s="10"/>
      <c r="P172" s="10"/>
      <c r="Q172" s="10"/>
      <c r="R172" s="10"/>
      <c r="S172" s="10"/>
      <c r="T172" s="18"/>
      <c r="U172" s="10"/>
      <c r="V172" s="10"/>
      <c r="W172" s="10"/>
      <c r="X172" s="18"/>
      <c r="Y172" s="10"/>
      <c r="Z172" s="10"/>
      <c r="AA172" s="10"/>
      <c r="AB172" s="60"/>
      <c r="AC172" s="60"/>
      <c r="AD172" s="12"/>
    </row>
    <row r="173" spans="1:30" s="17" customFormat="1" ht="15.6" hidden="1" outlineLevel="1" x14ac:dyDescent="0.3">
      <c r="A173" s="93" t="s">
        <v>100</v>
      </c>
      <c r="B173" s="21"/>
      <c r="C173" s="84"/>
      <c r="D173" s="84"/>
      <c r="E173" s="84"/>
      <c r="F173" s="83"/>
      <c r="G173" s="32"/>
      <c r="H173" s="32"/>
      <c r="I173" s="32"/>
      <c r="J173" s="32"/>
      <c r="K173" s="32"/>
      <c r="L173" s="20">
        <f ca="1">LOOKUP(1000,INDIRECT("L1:"&amp;CELL("address",INDIRECT("R[-1]C",FALSE))))+1</f>
        <v>16</v>
      </c>
      <c r="M173" s="301" t="s">
        <v>631</v>
      </c>
      <c r="N173" s="301"/>
      <c r="O173" s="5"/>
      <c r="P173" s="33"/>
      <c r="Q173" s="33"/>
      <c r="R173" s="33"/>
      <c r="S173" s="33"/>
      <c r="T173" s="167">
        <f>IF($S$6="Exclude", SUMIFS(S174:S176, J174:J176, "&lt;&gt;Yes", G174:G176, "&lt;&gt;Yes"), SUMIFS(S174:S176, J174:J176, "&lt;&gt;Yes"))</f>
        <v>15</v>
      </c>
      <c r="U173" s="33"/>
      <c r="V173" s="33"/>
      <c r="W173" s="33"/>
      <c r="X173" s="34"/>
      <c r="Y173" s="35"/>
      <c r="Z173" s="35"/>
      <c r="AA173" s="35"/>
      <c r="AB173" s="240"/>
      <c r="AC173" s="36"/>
      <c r="AD173" s="26" t="str">
        <f>IF(M173="", "Error: Task name cannot be empty.", "")</f>
        <v/>
      </c>
    </row>
    <row r="174" spans="1:30" s="15" customFormat="1" ht="1.5" hidden="1" customHeight="1" outlineLevel="2" x14ac:dyDescent="0.3">
      <c r="A174" s="93" t="s">
        <v>101</v>
      </c>
      <c r="B174" s="21"/>
      <c r="C174" s="84"/>
      <c r="D174" s="84"/>
      <c r="E174" s="84"/>
      <c r="F174" s="83"/>
      <c r="G174" s="32"/>
      <c r="H174" s="32"/>
      <c r="I174" s="32"/>
      <c r="J174" s="32"/>
      <c r="K174" s="32"/>
      <c r="L174" s="175">
        <f ca="1">L173</f>
        <v>16</v>
      </c>
      <c r="M174" s="176" t="s">
        <v>105</v>
      </c>
      <c r="N174" s="173"/>
      <c r="O174" s="174"/>
      <c r="P174" s="33"/>
      <c r="Q174" s="33"/>
      <c r="R174" s="33"/>
      <c r="S174" s="33"/>
      <c r="T174" s="167"/>
      <c r="U174" s="33"/>
      <c r="V174" s="33"/>
      <c r="W174" s="33"/>
      <c r="X174" s="34"/>
      <c r="Y174" s="35"/>
      <c r="Z174" s="35"/>
      <c r="AA174" s="35"/>
      <c r="AB174" s="36"/>
      <c r="AC174" s="36"/>
      <c r="AD174" s="26"/>
    </row>
    <row r="175" spans="1:30" ht="72" hidden="1" outlineLevel="2" x14ac:dyDescent="0.3">
      <c r="A175" s="93" t="s">
        <v>0</v>
      </c>
      <c r="B175" s="21"/>
      <c r="C175" s="85"/>
      <c r="D175" s="85"/>
      <c r="E175" s="85"/>
      <c r="F175" s="86"/>
      <c r="G175" s="22" t="s">
        <v>23</v>
      </c>
      <c r="H175" s="22" t="s">
        <v>23</v>
      </c>
      <c r="I175" s="23" t="s">
        <v>23</v>
      </c>
      <c r="J175" s="22" t="s">
        <v>23</v>
      </c>
      <c r="K175" s="38"/>
      <c r="L175" s="22"/>
      <c r="M175" s="286" t="str">
        <f ca="1">IFERROR(OFFSET(M175,-1,,1,1)+0.1,OFFSET(M175,-1,-1,1,1)&amp;".1")</f>
        <v>16.1</v>
      </c>
      <c r="N175" s="23" t="s">
        <v>632</v>
      </c>
      <c r="O175" s="23"/>
      <c r="P175" s="23"/>
      <c r="Q175" s="144">
        <v>1</v>
      </c>
      <c r="R175" s="137"/>
      <c r="S175" s="169">
        <f>CEILING((IF(J175="Yes", 0, IF(H175="-",AA175,AA175+AA175*VLOOKUP(H175,BUFFERS_BY_TYPE,2,FALSE)))) +
   (IF(J175="Yes", 0, IF(H175="-",AA175,AA175+AA175*VLOOKUP(H175,BUFFERS_BY_TYPE,2,FALSE))))*VLOOKUP($S$5, SALES_CALL_SCALE_ARRAY, 2,FALSE),0.25)</f>
        <v>15</v>
      </c>
      <c r="T175" s="170"/>
      <c r="U175" s="24">
        <v>0</v>
      </c>
      <c r="V175" s="24">
        <v>1</v>
      </c>
      <c r="W175" s="24">
        <v>0</v>
      </c>
      <c r="X175" s="168">
        <v>20</v>
      </c>
      <c r="Y175" s="169">
        <f>CEILING((IF(P175=AS_DEV_EFFORT, DEV_EFFORT*Q175%,
                           IF(P175=AS_DURATION_EFFORT, (MANUAL_DURATION*5)*Q175%,
                                    (IF(Q175&lt;=1,X175,
                                          IF(SUM(U175:W175)=0,(Q175*X175),
                                               (((Q175*U175)*(X175+(X175*EXTRA_FOR_H)))+
                                               ((Q175*V175)*X175)+
                                               ((Q175*W175)*(X175-(X175*LESS_FOR_L)))
                                    )*IF(R175=0,1,R175))))))+Z175), 0.25)</f>
        <v>15</v>
      </c>
      <c r="Z175" s="25">
        <v>-5</v>
      </c>
      <c r="AA175" s="169">
        <f>Y175+Y175*VLOOKUP(I175,EXTRAS_ARRAY,2,FALSE)</f>
        <v>15</v>
      </c>
      <c r="AB175" s="23" t="s">
        <v>633</v>
      </c>
      <c r="AC175" s="37"/>
      <c r="AD175" s="26" t="str">
        <f>IF(J175&lt;&gt;"Yes",
IF(S175&lt;=0,"Error: Effort value is not defined or is invalid.",
IF(AND(SUM(U175:W175)&gt;0,SUM(U175:W175)&lt;&gt;1),"Error: Complexity % distribution should sum to 100%.",
IF(AND(P175=AS_DEV_EFFORT,X175&lt;&gt;0),"Error: PDs should not be defined when defining as dev effort %.",
IF(AND(P175=AS_DURATION_EFFORT,X175&lt;&gt;0),"Error: PDs should not be defined when defining as duration effort %.","")))))</f>
        <v/>
      </c>
    </row>
    <row r="176" spans="1:30" s="11" customFormat="1" ht="7.5" hidden="1" customHeight="1" outlineLevel="2" x14ac:dyDescent="0.3">
      <c r="A176" s="93" t="s">
        <v>132</v>
      </c>
      <c r="B176" s="18"/>
      <c r="C176" s="78"/>
      <c r="D176" s="78"/>
      <c r="E176" s="78"/>
      <c r="F176" s="78"/>
      <c r="G176" s="10"/>
      <c r="H176" s="10"/>
      <c r="I176" s="10"/>
      <c r="J176" s="10"/>
      <c r="K176" s="10"/>
      <c r="L176" s="10"/>
      <c r="M176" s="287"/>
      <c r="N176" s="10"/>
      <c r="O176" s="10"/>
      <c r="P176" s="10"/>
      <c r="Q176" s="10"/>
      <c r="R176" s="10"/>
      <c r="S176" s="10"/>
      <c r="T176" s="18"/>
      <c r="U176" s="10"/>
      <c r="V176" s="10"/>
      <c r="W176" s="10"/>
      <c r="X176" s="18"/>
      <c r="Y176" s="10"/>
      <c r="Z176" s="10"/>
      <c r="AA176" s="10"/>
      <c r="AB176" s="60"/>
      <c r="AC176" s="60"/>
      <c r="AD176" s="12"/>
    </row>
    <row r="177" spans="1:30" s="17" customFormat="1" ht="15.6" hidden="1" outlineLevel="1" x14ac:dyDescent="0.3">
      <c r="A177" s="93" t="s">
        <v>107</v>
      </c>
      <c r="B177" s="21"/>
      <c r="C177" s="84"/>
      <c r="D177" s="84"/>
      <c r="E177" s="84"/>
      <c r="F177" s="83"/>
      <c r="G177" s="185"/>
      <c r="H177" s="185"/>
      <c r="I177" s="185"/>
      <c r="J177" s="185"/>
      <c r="K177" s="185"/>
      <c r="L177" s="92" t="s">
        <v>109</v>
      </c>
      <c r="M177" s="300" t="s">
        <v>634</v>
      </c>
      <c r="N177" s="300"/>
      <c r="O177" s="87"/>
      <c r="P177" s="88"/>
      <c r="Q177" s="88"/>
      <c r="R177" s="88"/>
      <c r="S177" s="298">
        <f>SUMGROUP(ROW(), "T")</f>
        <v>15</v>
      </c>
      <c r="T177" s="298"/>
      <c r="U177" s="299"/>
      <c r="V177" s="299"/>
      <c r="W177" s="299"/>
      <c r="X177" s="89"/>
      <c r="Y177" s="90"/>
      <c r="Z177" s="90"/>
      <c r="AA177" s="90"/>
      <c r="AB177" s="243"/>
      <c r="AC177" s="91"/>
      <c r="AD177" s="26" t="str">
        <f>IF(M177="", "Error: Module name cannot be empty.", "")</f>
        <v/>
      </c>
    </row>
    <row r="178" spans="1:30" s="17" customFormat="1" ht="15.6" hidden="1" outlineLevel="1" x14ac:dyDescent="0.3">
      <c r="A178" s="93" t="s">
        <v>100</v>
      </c>
      <c r="B178" s="21"/>
      <c r="C178" s="84"/>
      <c r="D178" s="84"/>
      <c r="E178" s="84"/>
      <c r="F178" s="83"/>
      <c r="G178" s="32"/>
      <c r="H178" s="32"/>
      <c r="I178" s="32"/>
      <c r="J178" s="32"/>
      <c r="K178" s="32"/>
      <c r="L178" s="20">
        <f ca="1">LOOKUP(1000,INDIRECT("L1:"&amp;CELL("address",INDIRECT("R[-1]C",FALSE))))+1</f>
        <v>17</v>
      </c>
      <c r="M178" s="301" t="s">
        <v>635</v>
      </c>
      <c r="N178" s="301"/>
      <c r="O178" s="5"/>
      <c r="P178" s="33"/>
      <c r="Q178" s="33"/>
      <c r="R178" s="33"/>
      <c r="S178" s="33"/>
      <c r="T178" s="167">
        <f>IF($S$6="Exclude", SUMIFS(S179:S181, J179:J181, "&lt;&gt;Yes", G179:G181, "&lt;&gt;Yes"), SUMIFS(S179:S181, J179:J181, "&lt;&gt;Yes"))</f>
        <v>15</v>
      </c>
      <c r="U178" s="33"/>
      <c r="V178" s="33"/>
      <c r="W178" s="33"/>
      <c r="X178" s="34"/>
      <c r="Y178" s="35"/>
      <c r="Z178" s="35"/>
      <c r="AA178" s="35"/>
      <c r="AB178" s="240"/>
      <c r="AC178" s="36"/>
      <c r="AD178" s="26" t="str">
        <f>IF(M178="", "Error: Task name cannot be empty.", "")</f>
        <v/>
      </c>
    </row>
    <row r="179" spans="1:30" s="15" customFormat="1" ht="1.5" hidden="1" customHeight="1" outlineLevel="2" x14ac:dyDescent="0.3">
      <c r="A179" s="93" t="s">
        <v>101</v>
      </c>
      <c r="B179" s="21"/>
      <c r="C179" s="84"/>
      <c r="D179" s="84"/>
      <c r="E179" s="84"/>
      <c r="F179" s="83"/>
      <c r="G179" s="32"/>
      <c r="H179" s="32"/>
      <c r="I179" s="32"/>
      <c r="J179" s="32"/>
      <c r="K179" s="32"/>
      <c r="L179" s="175">
        <f ca="1">L178</f>
        <v>17</v>
      </c>
      <c r="M179" s="176" t="s">
        <v>105</v>
      </c>
      <c r="N179" s="173"/>
      <c r="O179" s="174"/>
      <c r="P179" s="33"/>
      <c r="Q179" s="33"/>
      <c r="R179" s="33"/>
      <c r="S179" s="33"/>
      <c r="T179" s="167"/>
      <c r="U179" s="33"/>
      <c r="V179" s="33"/>
      <c r="W179" s="33"/>
      <c r="X179" s="34"/>
      <c r="Y179" s="35"/>
      <c r="Z179" s="35"/>
      <c r="AA179" s="35"/>
      <c r="AB179" s="36"/>
      <c r="AC179" s="36"/>
      <c r="AD179" s="26"/>
    </row>
    <row r="180" spans="1:30" ht="86.4" hidden="1" outlineLevel="2" x14ac:dyDescent="0.3">
      <c r="A180" s="93" t="s">
        <v>0</v>
      </c>
      <c r="B180" s="21"/>
      <c r="C180" s="85"/>
      <c r="D180" s="85"/>
      <c r="E180" s="85"/>
      <c r="F180" s="86"/>
      <c r="G180" s="22" t="s">
        <v>23</v>
      </c>
      <c r="H180" s="22" t="s">
        <v>23</v>
      </c>
      <c r="I180" s="23" t="s">
        <v>23</v>
      </c>
      <c r="J180" s="22" t="s">
        <v>23</v>
      </c>
      <c r="K180" s="38"/>
      <c r="L180" s="22"/>
      <c r="M180" s="286" t="str">
        <f ca="1">IFERROR(OFFSET(M180,-1,,1,1)+0.1,OFFSET(M180,-1,-1,1,1)&amp;".1")</f>
        <v>17.1</v>
      </c>
      <c r="N180" s="23" t="s">
        <v>636</v>
      </c>
      <c r="O180" s="23"/>
      <c r="P180" s="23"/>
      <c r="Q180" s="144">
        <v>1</v>
      </c>
      <c r="R180" s="137"/>
      <c r="S180" s="169">
        <f>CEILING((IF(J180="Yes", 0, IF(H180="-",AA180,AA180+AA180*VLOOKUP(H180,BUFFERS_BY_TYPE,2,FALSE)))) +
   (IF(J180="Yes", 0, IF(H180="-",AA180,AA180+AA180*VLOOKUP(H180,BUFFERS_BY_TYPE,2,FALSE))))*VLOOKUP($S$5, SALES_CALL_SCALE_ARRAY, 2,FALSE),0.25)</f>
        <v>15</v>
      </c>
      <c r="T180" s="170"/>
      <c r="U180" s="24">
        <v>0</v>
      </c>
      <c r="V180" s="24">
        <v>1</v>
      </c>
      <c r="W180" s="24">
        <v>0</v>
      </c>
      <c r="X180" s="168">
        <v>15</v>
      </c>
      <c r="Y180" s="169">
        <f>CEILING((IF(P180=AS_DEV_EFFORT, DEV_EFFORT*Q180%,
                           IF(P180=AS_DURATION_EFFORT, (MANUAL_DURATION*5)*Q180%,
                                    (IF(Q180&lt;=1,X180,
                                          IF(SUM(U180:W180)=0,(Q180*X180),
                                               (((Q180*U180)*(X180+(X180*EXTRA_FOR_H)))+
                                               ((Q180*V180)*X180)+
                                               ((Q180*W180)*(X180-(X180*LESS_FOR_L)))
                                    )*IF(R180=0,1,R180))))))+Z180), 0.25)</f>
        <v>15</v>
      </c>
      <c r="Z180" s="25"/>
      <c r="AA180" s="169">
        <f>Y180+Y180*VLOOKUP(I180,EXTRAS_ARRAY,2,FALSE)</f>
        <v>15</v>
      </c>
      <c r="AB180" s="23"/>
      <c r="AC180" s="37"/>
      <c r="AD180" s="26" t="str">
        <f>IF(J180&lt;&gt;"Yes",
IF(S180&lt;=0,"Error: Effort value is not defined or is invalid.",
IF(AND(SUM(U180:W180)&gt;0,SUM(U180:W180)&lt;&gt;1),"Error: Complexity % distribution should sum to 100%.",
IF(AND(P180=AS_DEV_EFFORT,X180&lt;&gt;0),"Error: PDs should not be defined when defining as dev effort %.",
IF(AND(P180=AS_DURATION_EFFORT,X180&lt;&gt;0),"Error: PDs should not be defined when defining as duration effort %.","")))))</f>
        <v/>
      </c>
    </row>
    <row r="181" spans="1:30" s="11" customFormat="1" ht="7.5" hidden="1" customHeight="1" outlineLevel="2" x14ac:dyDescent="0.3">
      <c r="A181" s="93" t="s">
        <v>132</v>
      </c>
      <c r="B181" s="18"/>
      <c r="C181" s="78"/>
      <c r="D181" s="78"/>
      <c r="E181" s="78"/>
      <c r="F181" s="78"/>
      <c r="G181" s="10"/>
      <c r="H181" s="10"/>
      <c r="I181" s="10"/>
      <c r="J181" s="10"/>
      <c r="K181" s="10"/>
      <c r="L181" s="10"/>
      <c r="M181" s="287"/>
      <c r="N181" s="10"/>
      <c r="O181" s="10"/>
      <c r="P181" s="10"/>
      <c r="Q181" s="10"/>
      <c r="R181" s="10"/>
      <c r="S181" s="10"/>
      <c r="T181" s="18"/>
      <c r="U181" s="10"/>
      <c r="V181" s="10"/>
      <c r="W181" s="10"/>
      <c r="X181" s="18"/>
      <c r="Y181" s="10"/>
      <c r="Z181" s="10"/>
      <c r="AA181" s="10"/>
      <c r="AB181" s="60"/>
      <c r="AC181" s="60"/>
      <c r="AD181" s="12"/>
    </row>
    <row r="182" spans="1:30" s="17" customFormat="1" ht="15.6" hidden="1" outlineLevel="1" x14ac:dyDescent="0.3">
      <c r="A182" s="93" t="s">
        <v>107</v>
      </c>
      <c r="B182" s="21"/>
      <c r="C182" s="84"/>
      <c r="D182" s="84"/>
      <c r="E182" s="84"/>
      <c r="F182" s="83"/>
      <c r="G182" s="185"/>
      <c r="H182" s="185"/>
      <c r="I182" s="185"/>
      <c r="J182" s="185"/>
      <c r="K182" s="185"/>
      <c r="L182" s="92" t="s">
        <v>109</v>
      </c>
      <c r="M182" s="300" t="s">
        <v>637</v>
      </c>
      <c r="N182" s="300"/>
      <c r="O182" s="87"/>
      <c r="P182" s="88"/>
      <c r="Q182" s="88"/>
      <c r="R182" s="88"/>
      <c r="S182" s="298">
        <f>SUMGROUP(ROW(), "T")</f>
        <v>130</v>
      </c>
      <c r="T182" s="298"/>
      <c r="U182" s="299"/>
      <c r="V182" s="299"/>
      <c r="W182" s="299"/>
      <c r="X182" s="89"/>
      <c r="Y182" s="90"/>
      <c r="Z182" s="90"/>
      <c r="AA182" s="90"/>
      <c r="AB182" s="243"/>
      <c r="AC182" s="91"/>
      <c r="AD182" s="26" t="str">
        <f>IF(M182="", "Error: Module name cannot be empty.", "")</f>
        <v/>
      </c>
    </row>
    <row r="183" spans="1:30" s="17" customFormat="1" ht="15.6" hidden="1" outlineLevel="1" x14ac:dyDescent="0.3">
      <c r="A183" s="93" t="s">
        <v>100</v>
      </c>
      <c r="B183" s="21"/>
      <c r="C183" s="84"/>
      <c r="D183" s="84"/>
      <c r="E183" s="84"/>
      <c r="F183" s="83"/>
      <c r="G183" s="32"/>
      <c r="H183" s="32"/>
      <c r="I183" s="32"/>
      <c r="J183" s="32"/>
      <c r="K183" s="32"/>
      <c r="L183" s="20">
        <f ca="1">LOOKUP(1000,INDIRECT("L1:"&amp;CELL("address",INDIRECT("R[-1]C",FALSE))))+1</f>
        <v>18</v>
      </c>
      <c r="M183" s="301" t="s">
        <v>638</v>
      </c>
      <c r="N183" s="301"/>
      <c r="O183" s="5"/>
      <c r="P183" s="33"/>
      <c r="Q183" s="33"/>
      <c r="R183" s="33"/>
      <c r="S183" s="33"/>
      <c r="T183" s="167">
        <f>IF($S$6="Exclude", SUMIFS(S184:S187, J184:J187, "&lt;&gt;Yes", G184:G187, "&lt;&gt;Yes"), SUMIFS(S184:S187, J184:J187, "&lt;&gt;Yes"))</f>
        <v>130</v>
      </c>
      <c r="U183" s="33"/>
      <c r="V183" s="33"/>
      <c r="W183" s="33"/>
      <c r="X183" s="34"/>
      <c r="Y183" s="35"/>
      <c r="Z183" s="35"/>
      <c r="AA183" s="35"/>
      <c r="AB183" s="240"/>
      <c r="AC183" s="36"/>
      <c r="AD183" s="26" t="str">
        <f>IF(M183="", "Error: Task name cannot be empty.", "")</f>
        <v/>
      </c>
    </row>
    <row r="184" spans="1:30" s="15" customFormat="1" ht="1.5" hidden="1" customHeight="1" outlineLevel="2" x14ac:dyDescent="0.3">
      <c r="A184" s="93" t="s">
        <v>101</v>
      </c>
      <c r="B184" s="21"/>
      <c r="C184" s="84"/>
      <c r="D184" s="84"/>
      <c r="E184" s="84"/>
      <c r="F184" s="83"/>
      <c r="G184" s="32"/>
      <c r="H184" s="32"/>
      <c r="I184" s="32"/>
      <c r="J184" s="32"/>
      <c r="K184" s="32"/>
      <c r="L184" s="175">
        <f ca="1">L183</f>
        <v>18</v>
      </c>
      <c r="M184" s="176" t="s">
        <v>105</v>
      </c>
      <c r="N184" s="173"/>
      <c r="O184" s="174"/>
      <c r="P184" s="33"/>
      <c r="Q184" s="33"/>
      <c r="R184" s="33"/>
      <c r="S184" s="33"/>
      <c r="T184" s="167"/>
      <c r="U184" s="33"/>
      <c r="V184" s="33"/>
      <c r="W184" s="33"/>
      <c r="X184" s="34"/>
      <c r="Y184" s="35"/>
      <c r="Z184" s="35"/>
      <c r="AA184" s="35"/>
      <c r="AB184" s="36"/>
      <c r="AC184" s="36"/>
      <c r="AD184" s="26"/>
    </row>
    <row r="185" spans="1:30" ht="43.2" hidden="1" outlineLevel="2" x14ac:dyDescent="0.3">
      <c r="A185" s="93" t="s">
        <v>0</v>
      </c>
      <c r="B185" s="21"/>
      <c r="C185" s="85"/>
      <c r="D185" s="85"/>
      <c r="E185" s="85"/>
      <c r="F185" s="86"/>
      <c r="G185" s="22" t="s">
        <v>23</v>
      </c>
      <c r="H185" s="22" t="s">
        <v>23</v>
      </c>
      <c r="I185" s="23" t="s">
        <v>23</v>
      </c>
      <c r="J185" s="22" t="s">
        <v>23</v>
      </c>
      <c r="K185" s="38"/>
      <c r="L185" s="22"/>
      <c r="M185" s="286" t="str">
        <f ca="1">IFERROR(OFFSET(M185,-1,,1,1)+0.1,OFFSET(M185,-1,-1,1,1)&amp;".1")</f>
        <v>18.1</v>
      </c>
      <c r="N185" s="23" t="s">
        <v>639</v>
      </c>
      <c r="O185" s="23"/>
      <c r="P185" s="23"/>
      <c r="Q185" s="144">
        <v>20</v>
      </c>
      <c r="R185" s="137"/>
      <c r="S185" s="169">
        <f>CEILING((IF(J185="Yes", 0, IF(H185="-",AA185,AA185+AA185*VLOOKUP(H185,BUFFERS_BY_TYPE,2,FALSE)))) +
   (IF(J185="Yes", 0, IF(H185="-",AA185,AA185+AA185*VLOOKUP(H185,BUFFERS_BY_TYPE,2,FALSE))))*VLOOKUP($S$5, SALES_CALL_SCALE_ARRAY, 2,FALSE),0.25)</f>
        <v>80</v>
      </c>
      <c r="T185" s="170"/>
      <c r="U185" s="24">
        <v>0</v>
      </c>
      <c r="V185" s="24">
        <v>1</v>
      </c>
      <c r="W185" s="24">
        <v>0</v>
      </c>
      <c r="X185" s="168">
        <v>4</v>
      </c>
      <c r="Y185" s="169">
        <f>CEILING((IF(P185=AS_DEV_EFFORT, DEV_EFFORT*Q185%,
                           IF(P185=AS_DURATION_EFFORT, (MANUAL_DURATION*5)*Q185%,
                                    (IF(Q185&lt;=1,X185,
                                          IF(SUM(U185:W185)=0,(Q185*X185),
                                               (((Q185*U185)*(X185+(X185*EXTRA_FOR_H)))+
                                               ((Q185*V185)*X185)+
                                               ((Q185*W185)*(X185-(X185*LESS_FOR_L)))
                                    )*IF(R185=0,1,R185))))))+Z185), 0.25)</f>
        <v>80</v>
      </c>
      <c r="Z185" s="25"/>
      <c r="AA185" s="169">
        <f>Y185+Y185*VLOOKUP(I185,EXTRAS_ARRAY,2,FALSE)</f>
        <v>80</v>
      </c>
      <c r="AB185" s="23"/>
      <c r="AC185" s="37"/>
      <c r="AD185" s="26" t="str">
        <f>IF(J185&lt;&gt;"Yes",
IF(S185&lt;=0,"Error: Effort value is not defined or is invalid.",
IF(AND(SUM(U185:W185)&gt;0,SUM(U185:W185)&lt;&gt;1),"Error: Complexity % distribution should sum to 100%.",
IF(AND(P185=AS_DEV_EFFORT,X185&lt;&gt;0),"Error: PDs should not be defined when defining as dev effort %.",
IF(AND(P185=AS_DURATION_EFFORT,X185&lt;&gt;0),"Error: PDs should not be defined when defining as duration effort %.","")))))</f>
        <v/>
      </c>
    </row>
    <row r="186" spans="1:30" ht="15.6" hidden="1" outlineLevel="2" x14ac:dyDescent="0.3">
      <c r="A186" s="93" t="s">
        <v>0</v>
      </c>
      <c r="B186" s="21"/>
      <c r="C186" s="85"/>
      <c r="D186" s="85"/>
      <c r="E186" s="85"/>
      <c r="F186" s="86"/>
      <c r="G186" s="22" t="s">
        <v>23</v>
      </c>
      <c r="H186" s="22" t="s">
        <v>23</v>
      </c>
      <c r="I186" s="23" t="s">
        <v>23</v>
      </c>
      <c r="J186" s="22" t="s">
        <v>23</v>
      </c>
      <c r="K186" s="38"/>
      <c r="L186" s="22"/>
      <c r="M186" s="286">
        <f ca="1">IFERROR(OFFSET(M186,-1,,1,1)+0.1,OFFSET(M186,-1,-1,1,1)&amp;".1")</f>
        <v>18.200000000000003</v>
      </c>
      <c r="N186" s="23" t="s">
        <v>640</v>
      </c>
      <c r="O186" s="23"/>
      <c r="P186" s="23"/>
      <c r="Q186" s="144">
        <v>100</v>
      </c>
      <c r="R186" s="137"/>
      <c r="S186" s="169">
        <f>CEILING((IF(J186="Yes", 0, IF(H186="-",AA186,AA186+AA186*VLOOKUP(H186,BUFFERS_BY_TYPE,2,FALSE)))) +
   (IF(J186="Yes", 0, IF(H186="-",AA186,AA186+AA186*VLOOKUP(H186,BUFFERS_BY_TYPE,2,FALSE))))*VLOOKUP($S$5, SALES_CALL_SCALE_ARRAY, 2,FALSE),0.25)</f>
        <v>50</v>
      </c>
      <c r="T186" s="170"/>
      <c r="U186" s="24">
        <v>0</v>
      </c>
      <c r="V186" s="24">
        <v>1</v>
      </c>
      <c r="W186" s="24">
        <v>0</v>
      </c>
      <c r="X186" s="168">
        <v>0.5</v>
      </c>
      <c r="Y186" s="169">
        <f>CEILING((IF(P186=AS_DEV_EFFORT, DEV_EFFORT*Q186%,
                           IF(P186=AS_DURATION_EFFORT, (MANUAL_DURATION*5)*Q186%,
                                    (IF(Q186&lt;=1,X186,
                                          IF(SUM(U186:W186)=0,(Q186*X186),
                                               (((Q186*U186)*(X186+(X186*EXTRA_FOR_H)))+
                                               ((Q186*V186)*X186)+
                                               ((Q186*W186)*(X186-(X186*LESS_FOR_L)))
                                    )*IF(R186=0,1,R186))))))+Z186), 0.25)</f>
        <v>50</v>
      </c>
      <c r="Z186" s="25"/>
      <c r="AA186" s="169">
        <f>Y186+Y186*VLOOKUP(I186,EXTRAS_ARRAY,2,FALSE)</f>
        <v>50</v>
      </c>
      <c r="AB186" s="23"/>
      <c r="AC186" s="37"/>
      <c r="AD186" s="26" t="str">
        <f>IF(J186&lt;&gt;"Yes",
IF(S186&lt;=0,"Error: Effort value is not defined or is invalid.",
IF(AND(SUM(U186:W186)&gt;0,SUM(U186:W186)&lt;&gt;1),"Error: Complexity % distribution should sum to 100%.",
IF(AND(P186=AS_DEV_EFFORT,X186&lt;&gt;0),"Error: PDs should not be defined when defining as dev effort %.",
IF(AND(P186=AS_DURATION_EFFORT,X186&lt;&gt;0),"Error: PDs should not be defined when defining as duration effort %.","")))))</f>
        <v/>
      </c>
    </row>
    <row r="187" spans="1:30" s="11" customFormat="1" ht="7.5" hidden="1" customHeight="1" outlineLevel="2" x14ac:dyDescent="0.3">
      <c r="A187" s="93" t="s">
        <v>132</v>
      </c>
      <c r="B187" s="18"/>
      <c r="C187" s="78"/>
      <c r="D187" s="78"/>
      <c r="E187" s="78"/>
      <c r="F187" s="78"/>
      <c r="G187" s="10"/>
      <c r="H187" s="10"/>
      <c r="I187" s="10"/>
      <c r="J187" s="10"/>
      <c r="K187" s="10"/>
      <c r="L187" s="10"/>
      <c r="M187" s="287"/>
      <c r="N187" s="10"/>
      <c r="O187" s="10"/>
      <c r="P187" s="10"/>
      <c r="Q187" s="10"/>
      <c r="R187" s="10"/>
      <c r="S187" s="10"/>
      <c r="T187" s="18"/>
      <c r="U187" s="10"/>
      <c r="V187" s="10"/>
      <c r="W187" s="10"/>
      <c r="X187" s="18"/>
      <c r="Y187" s="10"/>
      <c r="Z187" s="10"/>
      <c r="AA187" s="10"/>
      <c r="AB187" s="60"/>
      <c r="AC187" s="60"/>
      <c r="AD187" s="12"/>
    </row>
    <row r="188" spans="1:30" s="11" customFormat="1" ht="3" hidden="1" customHeight="1" outlineLevel="1" x14ac:dyDescent="0.3">
      <c r="A188" s="93" t="s">
        <v>102</v>
      </c>
      <c r="B188" s="10"/>
      <c r="C188" s="78"/>
      <c r="D188" s="78"/>
      <c r="E188" s="78"/>
      <c r="F188" s="78"/>
      <c r="G188" s="59"/>
      <c r="H188" s="59"/>
      <c r="I188" s="59"/>
      <c r="J188" s="59"/>
      <c r="K188" s="59"/>
      <c r="L188" s="61"/>
      <c r="M188" s="288"/>
      <c r="N188" s="62"/>
      <c r="O188" s="62"/>
      <c r="P188" s="61"/>
      <c r="Q188" s="61"/>
      <c r="R188" s="61"/>
      <c r="S188" s="61"/>
      <c r="T188" s="61"/>
      <c r="U188" s="61"/>
      <c r="V188" s="61"/>
      <c r="W188" s="61"/>
      <c r="X188" s="61"/>
      <c r="Y188" s="61"/>
      <c r="Z188" s="61"/>
      <c r="AA188" s="61"/>
      <c r="AB188" s="62"/>
      <c r="AC188" s="62"/>
      <c r="AD188" s="12"/>
    </row>
    <row r="189" spans="1:30" s="17" customFormat="1" ht="18" collapsed="1" x14ac:dyDescent="0.3">
      <c r="A189" s="93" t="s">
        <v>98</v>
      </c>
      <c r="B189" s="14"/>
      <c r="C189" s="79"/>
      <c r="D189" s="79"/>
      <c r="E189" s="79"/>
      <c r="F189" s="78"/>
      <c r="G189" s="55"/>
      <c r="H189" s="55"/>
      <c r="I189" s="55"/>
      <c r="J189" s="55"/>
      <c r="K189" s="55"/>
      <c r="L189" s="55" t="s">
        <v>70</v>
      </c>
      <c r="M189" s="284" t="s">
        <v>74</v>
      </c>
      <c r="N189" s="56"/>
      <c r="O189" s="57"/>
      <c r="P189" s="58"/>
      <c r="Q189" s="58"/>
      <c r="R189" s="58"/>
      <c r="S189" s="331">
        <f>CEILING(SUMIF(J190:J224, "&lt;&gt;Yes", T190:T224),1)</f>
        <v>421</v>
      </c>
      <c r="T189" s="331"/>
      <c r="U189" s="58"/>
      <c r="V189" s="58"/>
      <c r="W189" s="58"/>
      <c r="X189" s="58"/>
      <c r="Y189" s="58"/>
      <c r="Z189" s="58"/>
      <c r="AA189" s="58"/>
      <c r="AB189" s="58"/>
      <c r="AC189" s="58"/>
      <c r="AD189" s="16"/>
    </row>
    <row r="190" spans="1:30" s="11" customFormat="1" ht="3" hidden="1" customHeight="1" outlineLevel="1" x14ac:dyDescent="0.3">
      <c r="A190" s="93" t="s">
        <v>99</v>
      </c>
      <c r="B190" s="18"/>
      <c r="C190" s="78"/>
      <c r="D190" s="78"/>
      <c r="E190" s="78"/>
      <c r="F190" s="78"/>
      <c r="G190" s="28"/>
      <c r="H190" s="28"/>
      <c r="I190" s="28"/>
      <c r="J190" s="28"/>
      <c r="K190" s="28"/>
      <c r="L190" s="29">
        <v>0</v>
      </c>
      <c r="M190" s="285"/>
      <c r="N190" s="28"/>
      <c r="O190" s="28"/>
      <c r="P190" s="28"/>
      <c r="Q190" s="28"/>
      <c r="R190" s="28"/>
      <c r="S190" s="28"/>
      <c r="T190" s="30"/>
      <c r="U190" s="28"/>
      <c r="V190" s="28"/>
      <c r="W190" s="28"/>
      <c r="X190" s="30"/>
      <c r="Y190" s="28"/>
      <c r="Z190" s="28"/>
      <c r="AA190" s="28"/>
      <c r="AB190" s="31"/>
      <c r="AC190" s="31"/>
      <c r="AD190" s="12"/>
    </row>
    <row r="191" spans="1:30" s="17" customFormat="1" ht="15.6" hidden="1" outlineLevel="1" x14ac:dyDescent="0.3">
      <c r="A191" s="93" t="s">
        <v>107</v>
      </c>
      <c r="B191" s="21"/>
      <c r="C191" s="84"/>
      <c r="D191" s="84"/>
      <c r="E191" s="84"/>
      <c r="F191" s="83"/>
      <c r="G191" s="185"/>
      <c r="H191" s="185"/>
      <c r="I191" s="185"/>
      <c r="J191" s="185"/>
      <c r="K191" s="185"/>
      <c r="L191" s="92" t="s">
        <v>109</v>
      </c>
      <c r="M191" s="300" t="s">
        <v>561</v>
      </c>
      <c r="N191" s="300"/>
      <c r="O191" s="87"/>
      <c r="P191" s="88"/>
      <c r="Q191" s="88"/>
      <c r="R191" s="88"/>
      <c r="S191" s="298">
        <f>SUMGROUP(ROW(), "T")</f>
        <v>67.5</v>
      </c>
      <c r="T191" s="298"/>
      <c r="U191" s="299"/>
      <c r="V191" s="299"/>
      <c r="W191" s="299"/>
      <c r="X191" s="89"/>
      <c r="Y191" s="90"/>
      <c r="Z191" s="90"/>
      <c r="AA191" s="90"/>
      <c r="AB191" s="243"/>
      <c r="AC191" s="91"/>
      <c r="AD191" s="26" t="str">
        <f>IF(M191="", "Error: Module name cannot be empty.", "")</f>
        <v/>
      </c>
    </row>
    <row r="192" spans="1:30" s="17" customFormat="1" ht="15.6" hidden="1" outlineLevel="1" x14ac:dyDescent="0.3">
      <c r="A192" s="93" t="s">
        <v>100</v>
      </c>
      <c r="B192" s="21"/>
      <c r="C192" s="84"/>
      <c r="D192" s="84"/>
      <c r="E192" s="84"/>
      <c r="F192" s="83"/>
      <c r="G192" s="32"/>
      <c r="H192" s="32"/>
      <c r="I192" s="32"/>
      <c r="J192" s="32"/>
      <c r="K192" s="32"/>
      <c r="L192" s="20">
        <f ca="1">LOOKUP(1000,INDIRECT("L1:"&amp;CELL("address",INDIRECT("R[-1]C",FALSE))))+1</f>
        <v>1</v>
      </c>
      <c r="M192" s="301" t="s">
        <v>562</v>
      </c>
      <c r="N192" s="301"/>
      <c r="O192" s="5"/>
      <c r="P192" s="33"/>
      <c r="Q192" s="33"/>
      <c r="R192" s="33"/>
      <c r="S192" s="33"/>
      <c r="T192" s="167">
        <f>IF($S$6="Exclude", SUMIFS(S193:S196, J193:J196, "&lt;&gt;Yes", G193:G196, "&lt;&gt;Yes"), SUMIFS(S193:S196, J193:J196, "&lt;&gt;Yes"))</f>
        <v>67.5</v>
      </c>
      <c r="U192" s="33"/>
      <c r="V192" s="33"/>
      <c r="W192" s="33"/>
      <c r="X192" s="34"/>
      <c r="Y192" s="35"/>
      <c r="Z192" s="35"/>
      <c r="AA192" s="35"/>
      <c r="AB192" s="240"/>
      <c r="AC192" s="36"/>
      <c r="AD192" s="26" t="str">
        <f>IF(M192="", "Error: Task name cannot be empty.", "")</f>
        <v/>
      </c>
    </row>
    <row r="193" spans="1:30" s="15" customFormat="1" ht="1.5" hidden="1" customHeight="1" outlineLevel="2" x14ac:dyDescent="0.3">
      <c r="A193" s="93" t="s">
        <v>101</v>
      </c>
      <c r="B193" s="21"/>
      <c r="C193" s="84"/>
      <c r="D193" s="84"/>
      <c r="E193" s="84"/>
      <c r="F193" s="83"/>
      <c r="G193" s="32"/>
      <c r="H193" s="32"/>
      <c r="I193" s="32"/>
      <c r="J193" s="32"/>
      <c r="K193" s="32"/>
      <c r="L193" s="175">
        <f ca="1">L192</f>
        <v>1</v>
      </c>
      <c r="M193" s="176" t="s">
        <v>105</v>
      </c>
      <c r="N193" s="173"/>
      <c r="O193" s="174"/>
      <c r="P193" s="33"/>
      <c r="Q193" s="33"/>
      <c r="R193" s="33"/>
      <c r="S193" s="33"/>
      <c r="T193" s="167"/>
      <c r="U193" s="33"/>
      <c r="V193" s="33"/>
      <c r="W193" s="33"/>
      <c r="X193" s="34"/>
      <c r="Y193" s="35"/>
      <c r="Z193" s="35"/>
      <c r="AA193" s="35"/>
      <c r="AB193" s="36"/>
      <c r="AC193" s="36"/>
      <c r="AD193" s="26"/>
    </row>
    <row r="194" spans="1:30" ht="43.2" hidden="1" outlineLevel="2" x14ac:dyDescent="0.3">
      <c r="A194" s="93" t="s">
        <v>0</v>
      </c>
      <c r="B194" s="21"/>
      <c r="C194" s="85"/>
      <c r="D194" s="85"/>
      <c r="E194" s="85"/>
      <c r="F194" s="86"/>
      <c r="G194" s="22" t="s">
        <v>23</v>
      </c>
      <c r="H194" s="22" t="s">
        <v>23</v>
      </c>
      <c r="I194" s="23" t="s">
        <v>23</v>
      </c>
      <c r="J194" s="22" t="s">
        <v>23</v>
      </c>
      <c r="K194" s="38"/>
      <c r="L194" s="22"/>
      <c r="M194" s="286" t="str">
        <f ca="1">IFERROR(OFFSET(M194,-1,,1,1)+0.1,OFFSET(M194,-1,-1,1,1)&amp;".1")</f>
        <v>1.1</v>
      </c>
      <c r="N194" s="23" t="s">
        <v>563</v>
      </c>
      <c r="O194" s="23"/>
      <c r="P194" s="23"/>
      <c r="Q194" s="144">
        <v>30</v>
      </c>
      <c r="R194" s="137"/>
      <c r="S194" s="169">
        <f>CEILING((IF(J194="Yes", 0, IF(H194="-",AA194,AA194+AA194*VLOOKUP(H194,BUFFERS_BY_TYPE,2,FALSE)))) +
   (IF(J194="Yes", 0, IF(H194="-",AA194,AA194+AA194*VLOOKUP(H194,BUFFERS_BY_TYPE,2,FALSE))))*VLOOKUP($S$5, SALES_CALL_SCALE_ARRAY, 2,FALSE),0.25)</f>
        <v>7.5</v>
      </c>
      <c r="T194" s="170"/>
      <c r="U194" s="24">
        <v>0</v>
      </c>
      <c r="V194" s="24">
        <v>1</v>
      </c>
      <c r="W194" s="24">
        <v>0</v>
      </c>
      <c r="X194" s="168">
        <v>0.25</v>
      </c>
      <c r="Y194" s="169">
        <f>CEILING((IF(P194=AS_DEV_EFFORT, DEV_EFFORT*Q194%,
                           IF(P194=AS_DURATION_EFFORT, (MANUAL_DURATION*5)*Q194%,
                                    (IF(Q194&lt;=1,X194,
                                          IF(SUM(U194:W194)=0,(Q194*X194),
                                               (((Q194*U194)*(X194+(X194*EXTRA_FOR_H)))+
                                               ((Q194*V194)*X194)+
                                               ((Q194*W194)*(X194-(X194*LESS_FOR_L)))
                                    )*IF(R194=0,1,R194))))))+Z194), 0.25)</f>
        <v>7.5</v>
      </c>
      <c r="Z194" s="25"/>
      <c r="AA194" s="169">
        <f>Y194+Y194*VLOOKUP(I194,EXTRAS_ARRAY,2,FALSE)</f>
        <v>7.5</v>
      </c>
      <c r="AB194" s="23"/>
      <c r="AC194" s="37"/>
      <c r="AD194" s="26" t="str">
        <f>IF(J194&lt;&gt;"Yes",
IF(S194&lt;=0,"Error: Effort value is not defined or is invalid.",
IF(AND(SUM(U194:W194)&gt;0,SUM(U194:W194)&lt;&gt;1),"Error: Complexity % distribution should sum to 100%.",
IF(AND(P194=AS_DEV_EFFORT,X194&lt;&gt;0),"Error: PDs should not be defined when defining as dev effort %.",
IF(AND(P194=AS_DURATION_EFFORT,X194&lt;&gt;0),"Error: PDs should not be defined when defining as duration effort %.","")))))</f>
        <v/>
      </c>
    </row>
    <row r="195" spans="1:30" ht="43.2" hidden="1" outlineLevel="2" x14ac:dyDescent="0.3">
      <c r="A195" s="93" t="s">
        <v>0</v>
      </c>
      <c r="B195" s="21"/>
      <c r="C195" s="85"/>
      <c r="D195" s="85"/>
      <c r="E195" s="85"/>
      <c r="F195" s="86"/>
      <c r="G195" s="22" t="s">
        <v>23</v>
      </c>
      <c r="H195" s="22" t="s">
        <v>23</v>
      </c>
      <c r="I195" s="23" t="s">
        <v>23</v>
      </c>
      <c r="J195" s="22" t="s">
        <v>23</v>
      </c>
      <c r="K195" s="38"/>
      <c r="L195" s="22"/>
      <c r="M195" s="286">
        <f ca="1">IFERROR(OFFSET(M195,-1,,1,1)+0.1,OFFSET(M195,-1,-1,1,1)&amp;".1")</f>
        <v>1.2000000000000002</v>
      </c>
      <c r="N195" s="23" t="s">
        <v>564</v>
      </c>
      <c r="O195" s="23"/>
      <c r="P195" s="23" t="s">
        <v>565</v>
      </c>
      <c r="Q195" s="144">
        <v>300</v>
      </c>
      <c r="R195" s="137"/>
      <c r="S195" s="169">
        <f>CEILING((IF(J195="Yes", 0, IF(H195="-",AA195,AA195+AA195*VLOOKUP(H195,BUFFERS_BY_TYPE,2,FALSE)))) +
   (IF(J195="Yes", 0, IF(H195="-",AA195,AA195+AA195*VLOOKUP(H195,BUFFERS_BY_TYPE,2,FALSE))))*VLOOKUP($S$5, SALES_CALL_SCALE_ARRAY, 2,FALSE),0.25)</f>
        <v>60</v>
      </c>
      <c r="T195" s="170"/>
      <c r="U195" s="24">
        <v>0</v>
      </c>
      <c r="V195" s="24">
        <v>1</v>
      </c>
      <c r="W195" s="24">
        <v>0</v>
      </c>
      <c r="X195" s="168">
        <v>0.2</v>
      </c>
      <c r="Y195" s="169">
        <f>CEILING((IF(P195=AS_DEV_EFFORT, DEV_EFFORT*Q195%,
                           IF(P195=AS_DURATION_EFFORT, (MANUAL_DURATION*5)*Q195%,
                                    (IF(Q195&lt;=1,X195,
                                          IF(SUM(U195:W195)=0,(Q195*X195),
                                               (((Q195*U195)*(X195+(X195*EXTRA_FOR_H)))+
                                               ((Q195*V195)*X195)+
                                               ((Q195*W195)*(X195-(X195*LESS_FOR_L)))
                                    )*IF(R195=0,1,R195))))))+Z195), 0.25)</f>
        <v>60</v>
      </c>
      <c r="Z195" s="25"/>
      <c r="AA195" s="169">
        <f>Y195+Y195*VLOOKUP(I195,EXTRAS_ARRAY,2,FALSE)</f>
        <v>60</v>
      </c>
      <c r="AB195" s="23"/>
      <c r="AC195" s="37"/>
      <c r="AD195" s="26" t="str">
        <f>IF(J195&lt;&gt;"Yes",
IF(S195&lt;=0,"Error: Effort value is not defined or is invalid.",
IF(AND(SUM(U195:W195)&gt;0,SUM(U195:W195)&lt;&gt;1),"Error: Complexity % distribution should sum to 100%.",
IF(AND(P195=AS_DEV_EFFORT,X195&lt;&gt;0),"Error: PDs should not be defined when defining as dev effort %.",
IF(AND(P195=AS_DURATION_EFFORT,X195&lt;&gt;0),"Error: PDs should not be defined when defining as duration effort %.","")))))</f>
        <v/>
      </c>
    </row>
    <row r="196" spans="1:30" s="11" customFormat="1" ht="7.5" hidden="1" customHeight="1" outlineLevel="2" x14ac:dyDescent="0.3">
      <c r="A196" s="93" t="s">
        <v>132</v>
      </c>
      <c r="B196" s="18"/>
      <c r="C196" s="78"/>
      <c r="D196" s="78"/>
      <c r="E196" s="78"/>
      <c r="F196" s="78"/>
      <c r="G196" s="10"/>
      <c r="H196" s="10"/>
      <c r="I196" s="10"/>
      <c r="J196" s="10"/>
      <c r="K196" s="10"/>
      <c r="L196" s="10"/>
      <c r="M196" s="287"/>
      <c r="N196" s="10"/>
      <c r="O196" s="10"/>
      <c r="P196" s="10"/>
      <c r="Q196" s="10"/>
      <c r="R196" s="10"/>
      <c r="S196" s="10"/>
      <c r="T196" s="18"/>
      <c r="U196" s="10"/>
      <c r="V196" s="10"/>
      <c r="W196" s="10"/>
      <c r="X196" s="18"/>
      <c r="Y196" s="10"/>
      <c r="Z196" s="10"/>
      <c r="AA196" s="10"/>
      <c r="AB196" s="60"/>
      <c r="AC196" s="60"/>
      <c r="AD196" s="12"/>
    </row>
    <row r="197" spans="1:30" s="17" customFormat="1" ht="15.6" hidden="1" outlineLevel="1" x14ac:dyDescent="0.3">
      <c r="A197" s="93" t="s">
        <v>107</v>
      </c>
      <c r="B197" s="21"/>
      <c r="C197" s="84"/>
      <c r="D197" s="84"/>
      <c r="E197" s="84"/>
      <c r="F197" s="83"/>
      <c r="G197" s="185"/>
      <c r="H197" s="185"/>
      <c r="I197" s="185"/>
      <c r="J197" s="185"/>
      <c r="K197" s="185"/>
      <c r="L197" s="92" t="s">
        <v>109</v>
      </c>
      <c r="M197" s="300" t="s">
        <v>566</v>
      </c>
      <c r="N197" s="300"/>
      <c r="O197" s="87"/>
      <c r="P197" s="88"/>
      <c r="Q197" s="88"/>
      <c r="R197" s="88"/>
      <c r="S197" s="298">
        <f>SUMGROUP(ROW(), "T")</f>
        <v>328.5</v>
      </c>
      <c r="T197" s="298"/>
      <c r="U197" s="299"/>
      <c r="V197" s="299"/>
      <c r="W197" s="299"/>
      <c r="X197" s="89"/>
      <c r="Y197" s="90"/>
      <c r="Z197" s="90"/>
      <c r="AA197" s="90"/>
      <c r="AB197" s="243"/>
      <c r="AC197" s="91"/>
      <c r="AD197" s="26" t="str">
        <f>IF(M197="", "Error: Module name cannot be empty.", "")</f>
        <v/>
      </c>
    </row>
    <row r="198" spans="1:30" s="17" customFormat="1" ht="15.6" hidden="1" outlineLevel="1" x14ac:dyDescent="0.3">
      <c r="A198" s="93" t="s">
        <v>100</v>
      </c>
      <c r="B198" s="21"/>
      <c r="C198" s="84"/>
      <c r="D198" s="84"/>
      <c r="E198" s="84"/>
      <c r="F198" s="83"/>
      <c r="G198" s="32"/>
      <c r="H198" s="32"/>
      <c r="I198" s="32"/>
      <c r="J198" s="32"/>
      <c r="K198" s="32"/>
      <c r="L198" s="20">
        <f ca="1">LOOKUP(1000,INDIRECT("L1:"&amp;CELL("address",INDIRECT("R[-1]C",FALSE))))+1</f>
        <v>2</v>
      </c>
      <c r="M198" s="301" t="s">
        <v>465</v>
      </c>
      <c r="N198" s="301"/>
      <c r="O198" s="5"/>
      <c r="P198" s="33"/>
      <c r="Q198" s="33"/>
      <c r="R198" s="33"/>
      <c r="S198" s="33"/>
      <c r="T198" s="167">
        <f>IF($S$6="Exclude", SUMIFS(S199:S204, J199:J204, "&lt;&gt;Yes", G199:G204, "&lt;&gt;Yes"), SUMIFS(S199:S204, J199:J204, "&lt;&gt;Yes"))</f>
        <v>232</v>
      </c>
      <c r="U198" s="33"/>
      <c r="V198" s="33"/>
      <c r="W198" s="33"/>
      <c r="X198" s="34"/>
      <c r="Y198" s="35"/>
      <c r="Z198" s="35"/>
      <c r="AA198" s="35"/>
      <c r="AB198" s="240"/>
      <c r="AC198" s="36"/>
      <c r="AD198" s="26" t="str">
        <f>IF(M198="", "Error: Task name cannot be empty.", "")</f>
        <v/>
      </c>
    </row>
    <row r="199" spans="1:30" s="15" customFormat="1" ht="1.5" hidden="1" customHeight="1" outlineLevel="2" x14ac:dyDescent="0.3">
      <c r="A199" s="93" t="s">
        <v>101</v>
      </c>
      <c r="B199" s="21"/>
      <c r="C199" s="84"/>
      <c r="D199" s="84"/>
      <c r="E199" s="84"/>
      <c r="F199" s="83"/>
      <c r="G199" s="32"/>
      <c r="H199" s="32"/>
      <c r="I199" s="32"/>
      <c r="J199" s="32"/>
      <c r="K199" s="32"/>
      <c r="L199" s="175">
        <f ca="1">L198</f>
        <v>2</v>
      </c>
      <c r="M199" s="176" t="s">
        <v>105</v>
      </c>
      <c r="N199" s="173"/>
      <c r="O199" s="174"/>
      <c r="P199" s="33"/>
      <c r="Q199" s="33"/>
      <c r="R199" s="33"/>
      <c r="S199" s="33"/>
      <c r="T199" s="167"/>
      <c r="U199" s="33"/>
      <c r="V199" s="33"/>
      <c r="W199" s="33"/>
      <c r="X199" s="34"/>
      <c r="Y199" s="35"/>
      <c r="Z199" s="35"/>
      <c r="AA199" s="35"/>
      <c r="AB199" s="36"/>
      <c r="AC199" s="36"/>
      <c r="AD199" s="26"/>
    </row>
    <row r="200" spans="1:30" ht="43.2" hidden="1" outlineLevel="2" x14ac:dyDescent="0.3">
      <c r="A200" s="93" t="s">
        <v>0</v>
      </c>
      <c r="B200" s="21"/>
      <c r="C200" s="85"/>
      <c r="D200" s="85"/>
      <c r="E200" s="85"/>
      <c r="F200" s="86"/>
      <c r="G200" s="22" t="s">
        <v>23</v>
      </c>
      <c r="H200" s="22" t="s">
        <v>23</v>
      </c>
      <c r="I200" s="23" t="s">
        <v>23</v>
      </c>
      <c r="J200" s="22" t="s">
        <v>23</v>
      </c>
      <c r="K200" s="38"/>
      <c r="L200" s="22"/>
      <c r="M200" s="286" t="str">
        <f ca="1">IFERROR(OFFSET(M200,-1,,1,1)+0.1,OFFSET(M200,-1,-1,1,1)&amp;".1")</f>
        <v>2.1</v>
      </c>
      <c r="N200" s="23" t="s">
        <v>479</v>
      </c>
      <c r="O200" s="23"/>
      <c r="P200" s="23"/>
      <c r="Q200" s="144">
        <v>3</v>
      </c>
      <c r="R200" s="137"/>
      <c r="S200" s="169">
        <f>CEILING((IF(J200="Yes", 0, IF(H200="-",AA200,AA200+AA200*VLOOKUP(H200,BUFFERS_BY_TYPE,2,FALSE)))) +
   (IF(J200="Yes", 0, IF(H200="-",AA200,AA200+AA200*VLOOKUP(H200,BUFFERS_BY_TYPE,2,FALSE))))*VLOOKUP($S$5, SALES_CALL_SCALE_ARRAY, 2,FALSE),0.25)</f>
        <v>3</v>
      </c>
      <c r="T200" s="170"/>
      <c r="U200" s="24">
        <v>0</v>
      </c>
      <c r="V200" s="24">
        <v>1</v>
      </c>
      <c r="W200" s="24">
        <v>0</v>
      </c>
      <c r="X200" s="168">
        <v>1</v>
      </c>
      <c r="Y200" s="169">
        <f>CEILING((IF(P200=AS_DEV_EFFORT, DEV_EFFORT*Q200%,
                           IF(P200=AS_DURATION_EFFORT, (MANUAL_DURATION*5)*Q200%,
                                    (IF(Q200&lt;=1,X200,
                                          IF(SUM(U200:W200)=0,(Q200*X200),
                                               (((Q200*U200)*(X200+(X200*EXTRA_FOR_H)))+
                                               ((Q200*V200)*X200)+
                                               ((Q200*W200)*(X200-(X200*LESS_FOR_L)))
                                    )*IF(R200=0,1,R200))))))+Z200), 0.25)</f>
        <v>3</v>
      </c>
      <c r="Z200" s="25"/>
      <c r="AA200" s="169">
        <f>Y200+Y200*VLOOKUP(I200,EXTRAS_ARRAY,2,FALSE)</f>
        <v>3</v>
      </c>
      <c r="AB200" s="23"/>
      <c r="AC200" s="37"/>
      <c r="AD200" s="26" t="str">
        <f>IF(J200&lt;&gt;"Yes",
IF(S200&lt;=0,"Error: Effort value is not defined or is invalid.",
IF(AND(SUM(U200:W200)&gt;0,SUM(U200:W200)&lt;&gt;1),"Error: Complexity % distribution should sum to 100%.",
IF(AND(P200=AS_DEV_EFFORT,X200&lt;&gt;0),"Error: PDs should not be defined when defining as dev effort %.",
IF(AND(P200=AS_DURATION_EFFORT,X200&lt;&gt;0),"Error: PDs should not be defined when defining as duration effort %.","")))))</f>
        <v/>
      </c>
    </row>
    <row r="201" spans="1:30" ht="86.4" hidden="1" outlineLevel="2" x14ac:dyDescent="0.3">
      <c r="A201" s="93" t="s">
        <v>0</v>
      </c>
      <c r="B201" s="21"/>
      <c r="C201" s="85"/>
      <c r="D201" s="85"/>
      <c r="E201" s="85"/>
      <c r="F201" s="86"/>
      <c r="G201" s="22" t="s">
        <v>23</v>
      </c>
      <c r="H201" s="22" t="s">
        <v>23</v>
      </c>
      <c r="I201" s="23" t="s">
        <v>23</v>
      </c>
      <c r="J201" s="22" t="s">
        <v>23</v>
      </c>
      <c r="K201" s="38" t="s">
        <v>483</v>
      </c>
      <c r="L201" s="22"/>
      <c r="M201" s="286">
        <f ca="1">IFERROR(OFFSET(M201,-1,,1,1)+0.1,OFFSET(M201,-1,-1,1,1)&amp;".1")</f>
        <v>2.2000000000000002</v>
      </c>
      <c r="N201" s="23" t="s">
        <v>480</v>
      </c>
      <c r="O201" s="23" t="s">
        <v>567</v>
      </c>
      <c r="P201" s="23">
        <v>1500</v>
      </c>
      <c r="Q201" s="144">
        <v>300</v>
      </c>
      <c r="R201" s="137">
        <v>5</v>
      </c>
      <c r="S201" s="169">
        <f>CEILING((IF(J201="Yes", 0, IF(H201="-",AA201,AA201+AA201*VLOOKUP(H201,BUFFERS_BY_TYPE,2,FALSE)))) +
   (IF(J201="Yes", 0, IF(H201="-",AA201,AA201+AA201*VLOOKUP(H201,BUFFERS_BY_TYPE,2,FALSE))))*VLOOKUP($S$5, SALES_CALL_SCALE_ARRAY, 2,FALSE),0.25)</f>
        <v>75</v>
      </c>
      <c r="T201" s="170"/>
      <c r="U201" s="24">
        <v>0</v>
      </c>
      <c r="V201" s="24">
        <v>1</v>
      </c>
      <c r="W201" s="24">
        <v>0</v>
      </c>
      <c r="X201" s="168">
        <v>0.05</v>
      </c>
      <c r="Y201" s="169">
        <f>CEILING((IF(P201=AS_DEV_EFFORT, DEV_EFFORT*Q201%,
                           IF(P201=AS_DURATION_EFFORT, (MANUAL_DURATION*5)*Q201%,
                                    (IF(Q201&lt;=1,X201,
                                          IF(SUM(U201:W201)=0,(Q201*X201),
                                               (((Q201*U201)*(X201+(X201*EXTRA_FOR_H)))+
                                               ((Q201*V201)*X201)+
                                               ((Q201*W201)*(X201-(X201*LESS_FOR_L)))
                                    )*IF(R201=0,1,R201))))))+Z201), 0.25)</f>
        <v>75</v>
      </c>
      <c r="Z201" s="25"/>
      <c r="AA201" s="169">
        <f>Y201+Y201*VLOOKUP(I201,EXTRAS_ARRAY,2,FALSE)</f>
        <v>75</v>
      </c>
      <c r="AB201" s="23"/>
      <c r="AC201" s="37"/>
      <c r="AD201" s="26" t="str">
        <f>IF(J201&lt;&gt;"Yes",
IF(S201&lt;=0,"Error: Effort value is not defined or is invalid.",
IF(AND(SUM(U201:W201)&gt;0,SUM(U201:W201)&lt;&gt;1),"Error: Complexity % distribution should sum to 100%.",
IF(AND(P201=AS_DEV_EFFORT,X201&lt;&gt;0),"Error: PDs should not be defined when defining as dev effort %.",
IF(AND(P201=AS_DURATION_EFFORT,X201&lt;&gt;0),"Error: PDs should not be defined when defining as duration effort %.","")))))</f>
        <v/>
      </c>
    </row>
    <row r="202" spans="1:30" ht="86.4" hidden="1" outlineLevel="2" x14ac:dyDescent="0.3">
      <c r="A202" s="93" t="s">
        <v>0</v>
      </c>
      <c r="B202" s="21"/>
      <c r="C202" s="85"/>
      <c r="D202" s="85"/>
      <c r="E202" s="85"/>
      <c r="F202" s="86"/>
      <c r="G202" s="22" t="s">
        <v>23</v>
      </c>
      <c r="H202" s="22" t="s">
        <v>23</v>
      </c>
      <c r="I202" s="23" t="s">
        <v>23</v>
      </c>
      <c r="J202" s="22" t="s">
        <v>23</v>
      </c>
      <c r="K202" s="38" t="s">
        <v>484</v>
      </c>
      <c r="L202" s="22"/>
      <c r="M202" s="286">
        <f ca="1">IFERROR(OFFSET(M202,-1,,1,1)+0.1,OFFSET(M202,-1,-1,1,1)&amp;".1")</f>
        <v>2.3000000000000003</v>
      </c>
      <c r="N202" s="23" t="s">
        <v>481</v>
      </c>
      <c r="O202" s="23" t="s">
        <v>567</v>
      </c>
      <c r="P202" s="23">
        <v>1500</v>
      </c>
      <c r="Q202" s="144">
        <v>300</v>
      </c>
      <c r="R202" s="137">
        <v>5</v>
      </c>
      <c r="S202" s="169">
        <f>CEILING((IF(J202="Yes", 0, IF(H202="-",AA202,AA202+AA202*VLOOKUP(H202,BUFFERS_BY_TYPE,2,FALSE)))) +
   (IF(J202="Yes", 0, IF(H202="-",AA202,AA202+AA202*VLOOKUP(H202,BUFFERS_BY_TYPE,2,FALSE))))*VLOOKUP($S$5, SALES_CALL_SCALE_ARRAY, 2,FALSE),0.25)</f>
        <v>150</v>
      </c>
      <c r="T202" s="170"/>
      <c r="U202" s="24">
        <v>0</v>
      </c>
      <c r="V202" s="24">
        <v>1</v>
      </c>
      <c r="W202" s="24">
        <v>0</v>
      </c>
      <c r="X202" s="168">
        <v>0.1</v>
      </c>
      <c r="Y202" s="169">
        <f>CEILING((IF(P202=AS_DEV_EFFORT, DEV_EFFORT*Q202%,
                           IF(P202=AS_DURATION_EFFORT, (MANUAL_DURATION*5)*Q202%,
                                    (IF(Q202&lt;=1,X202,
                                          IF(SUM(U202:W202)=0,(Q202*X202),
                                               (((Q202*U202)*(X202+(X202*EXTRA_FOR_H)))+
                                               ((Q202*V202)*X202)+
                                               ((Q202*W202)*(X202-(X202*LESS_FOR_L)))
                                    )*IF(R202=0,1,R202))))))+Z202), 0.25)</f>
        <v>150</v>
      </c>
      <c r="Z202" s="25"/>
      <c r="AA202" s="169">
        <f>Y202+Y202*VLOOKUP(I202,EXTRAS_ARRAY,2,FALSE)</f>
        <v>150</v>
      </c>
      <c r="AB202" s="23"/>
      <c r="AC202" s="37"/>
      <c r="AD202" s="26" t="str">
        <f>IF(J202&lt;&gt;"Yes",
IF(S202&lt;=0,"Error: Effort value is not defined or is invalid.",
IF(AND(SUM(U202:W202)&gt;0,SUM(U202:W202)&lt;&gt;1),"Error: Complexity % distribution should sum to 100%.",
IF(AND(P202=AS_DEV_EFFORT,X202&lt;&gt;0),"Error: PDs should not be defined when defining as dev effort %.",
IF(AND(P202=AS_DURATION_EFFORT,X202&lt;&gt;0),"Error: PDs should not be defined when defining as duration effort %.","")))))</f>
        <v/>
      </c>
    </row>
    <row r="203" spans="1:30" ht="43.2" hidden="1" outlineLevel="2" x14ac:dyDescent="0.3">
      <c r="A203" s="93" t="s">
        <v>0</v>
      </c>
      <c r="B203" s="21"/>
      <c r="C203" s="85"/>
      <c r="D203" s="85"/>
      <c r="E203" s="85"/>
      <c r="F203" s="86"/>
      <c r="G203" s="22" t="s">
        <v>23</v>
      </c>
      <c r="H203" s="22" t="s">
        <v>23</v>
      </c>
      <c r="I203" s="23" t="s">
        <v>23</v>
      </c>
      <c r="J203" s="22" t="s">
        <v>23</v>
      </c>
      <c r="K203" s="38"/>
      <c r="L203" s="22"/>
      <c r="M203" s="286">
        <f ca="1">IFERROR(OFFSET(M203,-1,,1,1)+0.1,OFFSET(M203,-1,-1,1,1)&amp;".1")</f>
        <v>2.4000000000000004</v>
      </c>
      <c r="N203" s="23" t="s">
        <v>482</v>
      </c>
      <c r="O203" s="23"/>
      <c r="P203" s="23"/>
      <c r="Q203" s="144">
        <v>4</v>
      </c>
      <c r="R203" s="137"/>
      <c r="S203" s="169">
        <f>CEILING((IF(J203="Yes", 0, IF(H203="-",AA203,AA203+AA203*VLOOKUP(H203,BUFFERS_BY_TYPE,2,FALSE)))) +
   (IF(J203="Yes", 0, IF(H203="-",AA203,AA203+AA203*VLOOKUP(H203,BUFFERS_BY_TYPE,2,FALSE))))*VLOOKUP($S$5, SALES_CALL_SCALE_ARRAY, 2,FALSE),0.25)</f>
        <v>4</v>
      </c>
      <c r="T203" s="170"/>
      <c r="U203" s="24">
        <v>0</v>
      </c>
      <c r="V203" s="24">
        <v>1</v>
      </c>
      <c r="W203" s="24">
        <v>0</v>
      </c>
      <c r="X203" s="168">
        <v>1</v>
      </c>
      <c r="Y203" s="169">
        <f>CEILING((IF(P203=AS_DEV_EFFORT, DEV_EFFORT*Q203%,
                           IF(P203=AS_DURATION_EFFORT, (MANUAL_DURATION*5)*Q203%,
                                    (IF(Q203&lt;=1,X203,
                                          IF(SUM(U203:W203)=0,(Q203*X203),
                                               (((Q203*U203)*(X203+(X203*EXTRA_FOR_H)))+
                                               ((Q203*V203)*X203)+
                                               ((Q203*W203)*(X203-(X203*LESS_FOR_L)))
                                    )*IF(R203=0,1,R203))))))+Z203), 0.25)</f>
        <v>4</v>
      </c>
      <c r="Z203" s="25"/>
      <c r="AA203" s="169">
        <f>Y203+Y203*VLOOKUP(I203,EXTRAS_ARRAY,2,FALSE)</f>
        <v>4</v>
      </c>
      <c r="AB203" s="23"/>
      <c r="AC203" s="37"/>
      <c r="AD203" s="26" t="str">
        <f>IF(J203&lt;&gt;"Yes",
IF(S203&lt;=0,"Error: Effort value is not defined or is invalid.",
IF(AND(SUM(U203:W203)&gt;0,SUM(U203:W203)&lt;&gt;1),"Error: Complexity % distribution should sum to 100%.",
IF(AND(P203=AS_DEV_EFFORT,X203&lt;&gt;0),"Error: PDs should not be defined when defining as dev effort %.",
IF(AND(P203=AS_DURATION_EFFORT,X203&lt;&gt;0),"Error: PDs should not be defined when defining as duration effort %.","")))))</f>
        <v/>
      </c>
    </row>
    <row r="204" spans="1:30" s="11" customFormat="1" ht="7.5" hidden="1" customHeight="1" outlineLevel="2" x14ac:dyDescent="0.3">
      <c r="A204" s="93" t="s">
        <v>132</v>
      </c>
      <c r="B204" s="18"/>
      <c r="C204" s="78"/>
      <c r="D204" s="78"/>
      <c r="E204" s="78"/>
      <c r="F204" s="78"/>
      <c r="G204" s="10"/>
      <c r="H204" s="10"/>
      <c r="I204" s="10"/>
      <c r="J204" s="10"/>
      <c r="K204" s="10"/>
      <c r="L204" s="10"/>
      <c r="M204" s="287"/>
      <c r="N204" s="10"/>
      <c r="O204" s="10"/>
      <c r="P204" s="10"/>
      <c r="Q204" s="10"/>
      <c r="R204" s="10"/>
      <c r="S204" s="10"/>
      <c r="T204" s="18"/>
      <c r="U204" s="10"/>
      <c r="V204" s="10"/>
      <c r="W204" s="10"/>
      <c r="X204" s="18"/>
      <c r="Y204" s="10"/>
      <c r="Z204" s="10"/>
      <c r="AA204" s="10"/>
      <c r="AB204" s="60"/>
      <c r="AC204" s="60"/>
      <c r="AD204" s="12"/>
    </row>
    <row r="205" spans="1:30" s="17" customFormat="1" ht="15.6" hidden="1" outlineLevel="1" x14ac:dyDescent="0.3">
      <c r="A205" s="93" t="s">
        <v>100</v>
      </c>
      <c r="B205" s="21"/>
      <c r="C205" s="84"/>
      <c r="D205" s="84"/>
      <c r="E205" s="84"/>
      <c r="F205" s="83"/>
      <c r="G205" s="32"/>
      <c r="H205" s="32"/>
      <c r="I205" s="32"/>
      <c r="J205" s="32"/>
      <c r="K205" s="32"/>
      <c r="L205" s="20">
        <f ca="1">LOOKUP(1000,INDIRECT("L1:"&amp;CELL("address",INDIRECT("R[-1]C",FALSE))))+1</f>
        <v>3</v>
      </c>
      <c r="M205" s="301" t="s">
        <v>492</v>
      </c>
      <c r="N205" s="301"/>
      <c r="O205" s="5"/>
      <c r="P205" s="33"/>
      <c r="Q205" s="33"/>
      <c r="R205" s="33"/>
      <c r="S205" s="33"/>
      <c r="T205" s="167">
        <f>IF($S$6="Exclude", SUMIFS(S206:S209, J206:J209, "&lt;&gt;Yes", G206:G209, "&lt;&gt;Yes"), SUMIFS(S206:S209, J206:J209, "&lt;&gt;Yes"))</f>
        <v>19</v>
      </c>
      <c r="U205" s="33"/>
      <c r="V205" s="33"/>
      <c r="W205" s="33"/>
      <c r="X205" s="34"/>
      <c r="Y205" s="35"/>
      <c r="Z205" s="35"/>
      <c r="AA205" s="35"/>
      <c r="AB205" s="240"/>
      <c r="AC205" s="36"/>
      <c r="AD205" s="26" t="str">
        <f>IF(M205="", "Error: Task name cannot be empty.", "")</f>
        <v/>
      </c>
    </row>
    <row r="206" spans="1:30" s="15" customFormat="1" ht="1.5" hidden="1" customHeight="1" outlineLevel="2" x14ac:dyDescent="0.3">
      <c r="A206" s="93" t="s">
        <v>101</v>
      </c>
      <c r="B206" s="21"/>
      <c r="C206" s="84"/>
      <c r="D206" s="84"/>
      <c r="E206" s="84"/>
      <c r="F206" s="83"/>
      <c r="G206" s="32"/>
      <c r="H206" s="32"/>
      <c r="I206" s="32"/>
      <c r="J206" s="32"/>
      <c r="K206" s="32"/>
      <c r="L206" s="175">
        <f ca="1">L205</f>
        <v>3</v>
      </c>
      <c r="M206" s="176" t="s">
        <v>105</v>
      </c>
      <c r="N206" s="173"/>
      <c r="O206" s="174"/>
      <c r="P206" s="33"/>
      <c r="Q206" s="33"/>
      <c r="R206" s="33"/>
      <c r="S206" s="33"/>
      <c r="T206" s="167"/>
      <c r="U206" s="33"/>
      <c r="V206" s="33"/>
      <c r="W206" s="33"/>
      <c r="X206" s="34"/>
      <c r="Y206" s="35"/>
      <c r="Z206" s="35"/>
      <c r="AA206" s="35"/>
      <c r="AB206" s="36"/>
      <c r="AC206" s="36"/>
      <c r="AD206" s="26"/>
    </row>
    <row r="207" spans="1:30" ht="43.2" hidden="1" outlineLevel="2" x14ac:dyDescent="0.3">
      <c r="A207" s="93" t="s">
        <v>0</v>
      </c>
      <c r="B207" s="21"/>
      <c r="C207" s="85"/>
      <c r="D207" s="85"/>
      <c r="E207" s="85"/>
      <c r="F207" s="86"/>
      <c r="G207" s="22" t="s">
        <v>23</v>
      </c>
      <c r="H207" s="22" t="s">
        <v>23</v>
      </c>
      <c r="I207" s="23" t="s">
        <v>23</v>
      </c>
      <c r="J207" s="22" t="s">
        <v>23</v>
      </c>
      <c r="K207" s="38"/>
      <c r="L207" s="22"/>
      <c r="M207" s="286" t="str">
        <f ca="1">IFERROR(OFFSET(M207,-1,,1,1)+0.1,OFFSET(M207,-1,-1,1,1)&amp;".1")</f>
        <v>3.1</v>
      </c>
      <c r="N207" s="23" t="s">
        <v>493</v>
      </c>
      <c r="O207" s="23"/>
      <c r="P207" s="23"/>
      <c r="Q207" s="144">
        <v>2</v>
      </c>
      <c r="R207" s="137"/>
      <c r="S207" s="169">
        <f>CEILING((IF(J207="Yes", 0, IF(H207="-",AA207,AA207+AA207*VLOOKUP(H207,BUFFERS_BY_TYPE,2,FALSE)))) +
   (IF(J207="Yes", 0, IF(H207="-",AA207,AA207+AA207*VLOOKUP(H207,BUFFERS_BY_TYPE,2,FALSE))))*VLOOKUP($S$5, SALES_CALL_SCALE_ARRAY, 2,FALSE),0.25)</f>
        <v>4</v>
      </c>
      <c r="T207" s="170"/>
      <c r="U207" s="24">
        <v>0</v>
      </c>
      <c r="V207" s="24">
        <v>1</v>
      </c>
      <c r="W207" s="24">
        <v>0</v>
      </c>
      <c r="X207" s="168">
        <v>2</v>
      </c>
      <c r="Y207" s="169">
        <f>CEILING((IF(P207=AS_DEV_EFFORT, DEV_EFFORT*Q207%,
                           IF(P207=AS_DURATION_EFFORT, (MANUAL_DURATION*5)*Q207%,
                                    (IF(Q207&lt;=1,X207,
                                          IF(SUM(U207:W207)=0,(Q207*X207),
                                               (((Q207*U207)*(X207+(X207*EXTRA_FOR_H)))+
                                               ((Q207*V207)*X207)+
                                               ((Q207*W207)*(X207-(X207*LESS_FOR_L)))
                                    )*IF(R207=0,1,R207))))))+Z207), 0.25)</f>
        <v>4</v>
      </c>
      <c r="Z207" s="25"/>
      <c r="AA207" s="169">
        <f>Y207+Y207*VLOOKUP(I207,EXTRAS_ARRAY,2,FALSE)</f>
        <v>4</v>
      </c>
      <c r="AB207" s="23"/>
      <c r="AC207" s="37"/>
      <c r="AD207" s="26" t="str">
        <f>IF(J207&lt;&gt;"Yes",
IF(S207&lt;=0,"Error: Effort value is not defined or is invalid.",
IF(AND(SUM(U207:W207)&gt;0,SUM(U207:W207)&lt;&gt;1),"Error: Complexity % distribution should sum to 100%.",
IF(AND(P207=AS_DEV_EFFORT,X207&lt;&gt;0),"Error: PDs should not be defined when defining as dev effort %.",
IF(AND(P207=AS_DURATION_EFFORT,X207&lt;&gt;0),"Error: PDs should not be defined when defining as duration effort %.","")))))</f>
        <v/>
      </c>
    </row>
    <row r="208" spans="1:30" ht="43.2" hidden="1" outlineLevel="2" x14ac:dyDescent="0.3">
      <c r="A208" s="93" t="s">
        <v>0</v>
      </c>
      <c r="B208" s="21"/>
      <c r="C208" s="85"/>
      <c r="D208" s="85"/>
      <c r="E208" s="85"/>
      <c r="F208" s="86"/>
      <c r="G208" s="22" t="s">
        <v>23</v>
      </c>
      <c r="H208" s="22" t="s">
        <v>23</v>
      </c>
      <c r="I208" s="23" t="s">
        <v>23</v>
      </c>
      <c r="J208" s="22" t="s">
        <v>23</v>
      </c>
      <c r="K208" s="38" t="s">
        <v>569</v>
      </c>
      <c r="L208" s="22"/>
      <c r="M208" s="286">
        <f ca="1">IFERROR(OFFSET(M208,-1,,1,1)+0.1,OFFSET(M208,-1,-1,1,1)&amp;".1")</f>
        <v>3.2</v>
      </c>
      <c r="N208" s="23" t="s">
        <v>494</v>
      </c>
      <c r="O208" s="23" t="s">
        <v>568</v>
      </c>
      <c r="P208" s="274">
        <v>0.1</v>
      </c>
      <c r="Q208" s="144">
        <f>Total_Test_Cases * P208</f>
        <v>150</v>
      </c>
      <c r="R208" s="137"/>
      <c r="S208" s="169">
        <f>CEILING((IF(J208="Yes", 0, IF(H208="-",AA208,AA208+AA208*VLOOKUP(H208,BUFFERS_BY_TYPE,2,FALSE)))) +
   (IF(J208="Yes", 0, IF(H208="-",AA208,AA208+AA208*VLOOKUP(H208,BUFFERS_BY_TYPE,2,FALSE))))*VLOOKUP($S$5, SALES_CALL_SCALE_ARRAY, 2,FALSE),0.25)</f>
        <v>15</v>
      </c>
      <c r="T208" s="170"/>
      <c r="U208" s="24">
        <v>0</v>
      </c>
      <c r="V208" s="24">
        <v>1</v>
      </c>
      <c r="W208" s="24">
        <v>0</v>
      </c>
      <c r="X208" s="168">
        <v>0.1</v>
      </c>
      <c r="Y208" s="169">
        <f>CEILING((IF(P208=AS_DEV_EFFORT, DEV_EFFORT*Q208%,
                           IF(P208=AS_DURATION_EFFORT, (MANUAL_DURATION*5)*Q208%,
                                    (IF(Q208&lt;=1,X208,
                                          IF(SUM(U208:W208)=0,(Q208*X208),
                                               (((Q208*U208)*(X208+(X208*EXTRA_FOR_H)))+
                                               ((Q208*V208)*X208)+
                                               ((Q208*W208)*(X208-(X208*LESS_FOR_L)))
                                    )*IF(R208=0,1,R208))))))+Z208), 0.25)</f>
        <v>15</v>
      </c>
      <c r="Z208" s="25"/>
      <c r="AA208" s="169">
        <f>Y208+Y208*VLOOKUP(I208,EXTRAS_ARRAY,2,FALSE)</f>
        <v>15</v>
      </c>
      <c r="AB208" s="23"/>
      <c r="AC208" s="37"/>
      <c r="AD208" s="26" t="str">
        <f>IF(J208&lt;&gt;"Yes",
IF(S208&lt;=0,"Error: Effort value is not defined or is invalid.",
IF(AND(SUM(U208:W208)&gt;0,SUM(U208:W208)&lt;&gt;1),"Error: Complexity % distribution should sum to 100%.",
IF(AND(P208=AS_DEV_EFFORT,X208&lt;&gt;0),"Error: PDs should not be defined when defining as dev effort %.",
IF(AND(P208=AS_DURATION_EFFORT,X208&lt;&gt;0),"Error: PDs should not be defined when defining as duration effort %.","")))))</f>
        <v/>
      </c>
    </row>
    <row r="209" spans="1:30" s="11" customFormat="1" ht="7.5" hidden="1" customHeight="1" outlineLevel="2" x14ac:dyDescent="0.3">
      <c r="A209" s="93" t="s">
        <v>132</v>
      </c>
      <c r="B209" s="18"/>
      <c r="C209" s="78"/>
      <c r="D209" s="78"/>
      <c r="E209" s="78"/>
      <c r="F209" s="78"/>
      <c r="G209" s="10"/>
      <c r="H209" s="10"/>
      <c r="I209" s="10"/>
      <c r="J209" s="10"/>
      <c r="K209" s="10"/>
      <c r="L209" s="10"/>
      <c r="M209" s="287"/>
      <c r="N209" s="10"/>
      <c r="O209" s="10"/>
      <c r="P209" s="10"/>
      <c r="Q209" s="10"/>
      <c r="R209" s="10"/>
      <c r="S209" s="10"/>
      <c r="T209" s="18"/>
      <c r="U209" s="10"/>
      <c r="V209" s="10"/>
      <c r="W209" s="10"/>
      <c r="X209" s="18"/>
      <c r="Y209" s="10"/>
      <c r="Z209" s="10"/>
      <c r="AA209" s="10"/>
      <c r="AB209" s="60"/>
      <c r="AC209" s="60"/>
      <c r="AD209" s="12"/>
    </row>
    <row r="210" spans="1:30" s="17" customFormat="1" ht="15.6" hidden="1" outlineLevel="1" x14ac:dyDescent="0.3">
      <c r="A210" s="93" t="s">
        <v>100</v>
      </c>
      <c r="B210" s="21"/>
      <c r="C210" s="84"/>
      <c r="D210" s="84"/>
      <c r="E210" s="84"/>
      <c r="F210" s="83"/>
      <c r="G210" s="32"/>
      <c r="H210" s="32"/>
      <c r="I210" s="32"/>
      <c r="J210" s="32"/>
      <c r="K210" s="32"/>
      <c r="L210" s="20">
        <f ca="1">LOOKUP(1000,INDIRECT("L1:"&amp;CELL("address",INDIRECT("R[-1]C",FALSE))))+1</f>
        <v>4</v>
      </c>
      <c r="M210" s="301" t="s">
        <v>495</v>
      </c>
      <c r="N210" s="301"/>
      <c r="O210" s="5"/>
      <c r="P210" s="33"/>
      <c r="Q210" s="33"/>
      <c r="R210" s="33"/>
      <c r="S210" s="33"/>
      <c r="T210" s="167">
        <f>IF($S$6="Exclude", SUMIFS(S211:S216, J211:J216, "&lt;&gt;Yes", G211:G216, "&lt;&gt;Yes"), SUMIFS(S211:S216, J211:J216, "&lt;&gt;Yes"))</f>
        <v>77.5</v>
      </c>
      <c r="U210" s="33"/>
      <c r="V210" s="33"/>
      <c r="W210" s="33"/>
      <c r="X210" s="34"/>
      <c r="Y210" s="35"/>
      <c r="Z210" s="35"/>
      <c r="AA210" s="35"/>
      <c r="AB210" s="240"/>
      <c r="AC210" s="36"/>
      <c r="AD210" s="26" t="str">
        <f>IF(M210="", "Error: Task name cannot be empty.", "")</f>
        <v/>
      </c>
    </row>
    <row r="211" spans="1:30" s="15" customFormat="1" ht="1.5" hidden="1" customHeight="1" outlineLevel="2" x14ac:dyDescent="0.3">
      <c r="A211" s="93" t="s">
        <v>101</v>
      </c>
      <c r="B211" s="21"/>
      <c r="C211" s="84"/>
      <c r="D211" s="84"/>
      <c r="E211" s="84"/>
      <c r="F211" s="83"/>
      <c r="G211" s="32"/>
      <c r="H211" s="32"/>
      <c r="I211" s="32"/>
      <c r="J211" s="32"/>
      <c r="K211" s="32"/>
      <c r="L211" s="175">
        <f ca="1">L210</f>
        <v>4</v>
      </c>
      <c r="M211" s="176" t="s">
        <v>105</v>
      </c>
      <c r="N211" s="173"/>
      <c r="O211" s="174"/>
      <c r="P211" s="33"/>
      <c r="Q211" s="33"/>
      <c r="R211" s="33"/>
      <c r="S211" s="33"/>
      <c r="T211" s="167"/>
      <c r="U211" s="33"/>
      <c r="V211" s="33"/>
      <c r="W211" s="33"/>
      <c r="X211" s="34"/>
      <c r="Y211" s="35"/>
      <c r="Z211" s="35"/>
      <c r="AA211" s="35"/>
      <c r="AB211" s="36"/>
      <c r="AC211" s="36"/>
      <c r="AD211" s="26"/>
    </row>
    <row r="212" spans="1:30" ht="43.2" hidden="1" outlineLevel="2" x14ac:dyDescent="0.3">
      <c r="A212" s="93" t="s">
        <v>0</v>
      </c>
      <c r="B212" s="21"/>
      <c r="C212" s="85"/>
      <c r="D212" s="85"/>
      <c r="E212" s="85"/>
      <c r="F212" s="86"/>
      <c r="G212" s="22" t="s">
        <v>23</v>
      </c>
      <c r="H212" s="22" t="s">
        <v>23</v>
      </c>
      <c r="I212" s="23" t="s">
        <v>23</v>
      </c>
      <c r="J212" s="22" t="s">
        <v>23</v>
      </c>
      <c r="K212" s="38"/>
      <c r="L212" s="22"/>
      <c r="M212" s="286" t="str">
        <f ca="1">IFERROR(OFFSET(M212,-1,,1,1)+0.1,OFFSET(M212,-1,-1,1,1)&amp;".1")</f>
        <v>4.1</v>
      </c>
      <c r="N212" s="23" t="s">
        <v>496</v>
      </c>
      <c r="O212" s="23"/>
      <c r="P212" s="23" t="s">
        <v>500</v>
      </c>
      <c r="Q212" s="144">
        <v>2</v>
      </c>
      <c r="R212" s="137"/>
      <c r="S212" s="169">
        <f>CEILING((IF(J212="Yes", 0, IF(H212="-",AA212,AA212+AA212*VLOOKUP(H212,BUFFERS_BY_TYPE,2,FALSE)))) +
   (IF(J212="Yes", 0, IF(H212="-",AA212,AA212+AA212*VLOOKUP(H212,BUFFERS_BY_TYPE,2,FALSE))))*VLOOKUP($S$5, SALES_CALL_SCALE_ARRAY, 2,FALSE),0.25)</f>
        <v>4</v>
      </c>
      <c r="T212" s="170"/>
      <c r="U212" s="24">
        <v>0</v>
      </c>
      <c r="V212" s="24">
        <v>1</v>
      </c>
      <c r="W212" s="24">
        <v>0</v>
      </c>
      <c r="X212" s="168">
        <v>2</v>
      </c>
      <c r="Y212" s="169">
        <f>CEILING((IF(P212=AS_DEV_EFFORT, DEV_EFFORT*Q212%,
                           IF(P212=AS_DURATION_EFFORT, (MANUAL_DURATION*5)*Q212%,
                                    (IF(Q212&lt;=1,X212,
                                          IF(SUM(U212:W212)=0,(Q212*X212),
                                               (((Q212*U212)*(X212+(X212*EXTRA_FOR_H)))+
                                               ((Q212*V212)*X212)+
                                               ((Q212*W212)*(X212-(X212*LESS_FOR_L)))
                                    )*IF(R212=0,1,R212))))))+Z212), 0.25)</f>
        <v>4</v>
      </c>
      <c r="Z212" s="25"/>
      <c r="AA212" s="169">
        <f>Y212+Y212*VLOOKUP(I212,EXTRAS_ARRAY,2,FALSE)</f>
        <v>4</v>
      </c>
      <c r="AB212" s="23"/>
      <c r="AC212" s="37"/>
      <c r="AD212" s="26" t="str">
        <f>IF(J212&lt;&gt;"Yes",
IF(S212&lt;=0,"Error: Effort value is not defined or is invalid.",
IF(AND(SUM(U212:W212)&gt;0,SUM(U212:W212)&lt;&gt;1),"Error: Complexity % distribution should sum to 100%.",
IF(AND(P212=AS_DEV_EFFORT,X212&lt;&gt;0),"Error: PDs should not be defined when defining as dev effort %.",
IF(AND(P212=AS_DURATION_EFFORT,X212&lt;&gt;0),"Error: PDs should not be defined when defining as duration effort %.","")))))</f>
        <v/>
      </c>
    </row>
    <row r="213" spans="1:30" ht="28.8" hidden="1" outlineLevel="2" x14ac:dyDescent="0.3">
      <c r="A213" s="93" t="s">
        <v>0</v>
      </c>
      <c r="B213" s="21"/>
      <c r="C213" s="85"/>
      <c r="D213" s="85"/>
      <c r="E213" s="85"/>
      <c r="F213" s="86"/>
      <c r="G213" s="22" t="s">
        <v>23</v>
      </c>
      <c r="H213" s="22" t="s">
        <v>23</v>
      </c>
      <c r="I213" s="23" t="s">
        <v>23</v>
      </c>
      <c r="J213" s="22" t="s">
        <v>23</v>
      </c>
      <c r="K213" s="38"/>
      <c r="L213" s="22"/>
      <c r="M213" s="286">
        <f ca="1">IFERROR(OFFSET(M213,-1,,1,1)+0.1,OFFSET(M213,-1,-1,1,1)&amp;".1")</f>
        <v>4.1999999999999993</v>
      </c>
      <c r="N213" s="23" t="s">
        <v>497</v>
      </c>
      <c r="O213" s="23"/>
      <c r="P213" s="23" t="s">
        <v>485</v>
      </c>
      <c r="Q213" s="144">
        <f>Total_Test_Cases * 15%</f>
        <v>225</v>
      </c>
      <c r="R213" s="137"/>
      <c r="S213" s="169">
        <f>CEILING((IF(J213="Yes", 0, IF(H213="-",AA213,AA213+AA213*VLOOKUP(H213,BUFFERS_BY_TYPE,2,FALSE)))) +
   (IF(J213="Yes", 0, IF(H213="-",AA213,AA213+AA213*VLOOKUP(H213,BUFFERS_BY_TYPE,2,FALSE))))*VLOOKUP($S$5, SALES_CALL_SCALE_ARRAY, 2,FALSE),0.25)</f>
        <v>56.25</v>
      </c>
      <c r="T213" s="170"/>
      <c r="U213" s="24">
        <v>0</v>
      </c>
      <c r="V213" s="24">
        <v>1</v>
      </c>
      <c r="W213" s="24">
        <v>0</v>
      </c>
      <c r="X213" s="168">
        <f>2/8</f>
        <v>0.25</v>
      </c>
      <c r="Y213" s="169">
        <f>CEILING((IF(P213=AS_DEV_EFFORT, DEV_EFFORT*Q213%,
                           IF(P213=AS_DURATION_EFFORT, (MANUAL_DURATION*5)*Q213%,
                                    (IF(Q213&lt;=1,X213,
                                          IF(SUM(U213:W213)=0,(Q213*X213),
                                               (((Q213*U213)*(X213+(X213*EXTRA_FOR_H)))+
                                               ((Q213*V213)*X213)+
                                               ((Q213*W213)*(X213-(X213*LESS_FOR_L)))
                                    )*IF(R213=0,1,R213))))))+Z213), 0.25)</f>
        <v>56.25</v>
      </c>
      <c r="Z213" s="25"/>
      <c r="AA213" s="169">
        <f>Y213+Y213*VLOOKUP(I213,EXTRAS_ARRAY,2,FALSE)</f>
        <v>56.25</v>
      </c>
      <c r="AB213" s="23" t="s">
        <v>570</v>
      </c>
      <c r="AC213" s="37"/>
      <c r="AD213" s="26" t="str">
        <f>IF(J213&lt;&gt;"Yes",
IF(S213&lt;=0,"Error: Effort value is not defined or is invalid.",
IF(AND(SUM(U213:W213)&gt;0,SUM(U213:W213)&lt;&gt;1),"Error: Complexity % distribution should sum to 100%.",
IF(AND(P213=AS_DEV_EFFORT,X213&lt;&gt;0),"Error: PDs should not be defined when defining as dev effort %.",
IF(AND(P213=AS_DURATION_EFFORT,X213&lt;&gt;0),"Error: PDs should not be defined when defining as duration effort %.","")))))</f>
        <v/>
      </c>
    </row>
    <row r="214" spans="1:30" ht="15.6" hidden="1" outlineLevel="2" x14ac:dyDescent="0.3">
      <c r="A214" s="93" t="s">
        <v>0</v>
      </c>
      <c r="B214" s="21"/>
      <c r="C214" s="85"/>
      <c r="D214" s="85"/>
      <c r="E214" s="85"/>
      <c r="F214" s="86"/>
      <c r="G214" s="22" t="s">
        <v>23</v>
      </c>
      <c r="H214" s="22" t="s">
        <v>23</v>
      </c>
      <c r="I214" s="23" t="s">
        <v>23</v>
      </c>
      <c r="J214" s="22" t="s">
        <v>23</v>
      </c>
      <c r="K214" s="38"/>
      <c r="L214" s="22"/>
      <c r="M214" s="286">
        <f ca="1">IFERROR(OFFSET(M214,-1,,1,1)+0.1,OFFSET(M214,-1,-1,1,1)&amp;".1")</f>
        <v>4.2999999999999989</v>
      </c>
      <c r="N214" s="23" t="s">
        <v>498</v>
      </c>
      <c r="O214" s="23"/>
      <c r="P214" s="23" t="s">
        <v>485</v>
      </c>
      <c r="Q214" s="144">
        <f>Total_Test_Cases * 15%</f>
        <v>225</v>
      </c>
      <c r="R214" s="137">
        <v>3</v>
      </c>
      <c r="S214" s="169">
        <f>CEILING((IF(J214="Yes", 0, IF(H214="-",AA214,AA214+AA214*VLOOKUP(H214,BUFFERS_BY_TYPE,2,FALSE)))) +
   (IF(J214="Yes", 0, IF(H214="-",AA214,AA214+AA214*VLOOKUP(H214,BUFFERS_BY_TYPE,2,FALSE))))*VLOOKUP($S$5, SALES_CALL_SCALE_ARRAY, 2,FALSE),0.25)</f>
        <v>14.25</v>
      </c>
      <c r="T214" s="170"/>
      <c r="U214" s="24">
        <v>0</v>
      </c>
      <c r="V214" s="24">
        <v>1</v>
      </c>
      <c r="W214" s="24">
        <v>0</v>
      </c>
      <c r="X214" s="168">
        <f>10/60/8</f>
        <v>2.0833333333333332E-2</v>
      </c>
      <c r="Y214" s="169">
        <f>CEILING((IF(P214=AS_DEV_EFFORT, DEV_EFFORT*Q214%,
                           IF(P214=AS_DURATION_EFFORT, (MANUAL_DURATION*5)*Q214%,
                                    (IF(Q214&lt;=1,X214,
                                          IF(SUM(U214:W214)=0,(Q214*X214),
                                               (((Q214*U214)*(X214+(X214*EXTRA_FOR_H)))+
                                               ((Q214*V214)*X214)+
                                               ((Q214*W214)*(X214-(X214*LESS_FOR_L)))
                                    )*IF(R214=0,1,R214))))))+Z214), 0.25)</f>
        <v>14.25</v>
      </c>
      <c r="Z214" s="25"/>
      <c r="AA214" s="169">
        <f>Y214+Y214*VLOOKUP(I214,EXTRAS_ARRAY,2,FALSE)</f>
        <v>14.25</v>
      </c>
      <c r="AB214" s="23"/>
      <c r="AC214" s="37"/>
      <c r="AD214" s="26" t="str">
        <f>IF(J214&lt;&gt;"Yes",
IF(S214&lt;=0,"Error: Effort value is not defined or is invalid.",
IF(AND(SUM(U214:W214)&gt;0,SUM(U214:W214)&lt;&gt;1),"Error: Complexity % distribution should sum to 100%.",
IF(AND(P214=AS_DEV_EFFORT,X214&lt;&gt;0),"Error: PDs should not be defined when defining as dev effort %.",
IF(AND(P214=AS_DURATION_EFFORT,X214&lt;&gt;0),"Error: PDs should not be defined when defining as duration effort %.","")))))</f>
        <v/>
      </c>
    </row>
    <row r="215" spans="1:30" ht="43.2" hidden="1" outlineLevel="2" x14ac:dyDescent="0.3">
      <c r="A215" s="93" t="s">
        <v>0</v>
      </c>
      <c r="B215" s="21"/>
      <c r="C215" s="85"/>
      <c r="D215" s="85"/>
      <c r="E215" s="85"/>
      <c r="F215" s="86"/>
      <c r="G215" s="22" t="s">
        <v>23</v>
      </c>
      <c r="H215" s="22" t="s">
        <v>23</v>
      </c>
      <c r="I215" s="23" t="s">
        <v>23</v>
      </c>
      <c r="J215" s="22" t="s">
        <v>23</v>
      </c>
      <c r="K215" s="38"/>
      <c r="L215" s="22"/>
      <c r="M215" s="286">
        <f ca="1">IFERROR(OFFSET(M215,-1,,1,1)+0.1,OFFSET(M215,-1,-1,1,1)&amp;".1")</f>
        <v>4.3999999999999986</v>
      </c>
      <c r="N215" s="23" t="s">
        <v>499</v>
      </c>
      <c r="O215" s="23"/>
      <c r="P215" s="23"/>
      <c r="Q215" s="144">
        <v>3</v>
      </c>
      <c r="R215" s="137"/>
      <c r="S215" s="169">
        <f>CEILING((IF(J215="Yes", 0, IF(H215="-",AA215,AA215+AA215*VLOOKUP(H215,BUFFERS_BY_TYPE,2,FALSE)))) +
   (IF(J215="Yes", 0, IF(H215="-",AA215,AA215+AA215*VLOOKUP(H215,BUFFERS_BY_TYPE,2,FALSE))))*VLOOKUP($S$5, SALES_CALL_SCALE_ARRAY, 2,FALSE),0.25)</f>
        <v>3</v>
      </c>
      <c r="T215" s="170"/>
      <c r="U215" s="24">
        <v>0</v>
      </c>
      <c r="V215" s="24">
        <v>1</v>
      </c>
      <c r="W215" s="24">
        <v>0</v>
      </c>
      <c r="X215" s="168">
        <v>1</v>
      </c>
      <c r="Y215" s="169">
        <f>CEILING((IF(P215=AS_DEV_EFFORT, DEV_EFFORT*Q215%,
                           IF(P215=AS_DURATION_EFFORT, (MANUAL_DURATION*5)*Q215%,
                                    (IF(Q215&lt;=1,X215,
                                          IF(SUM(U215:W215)=0,(Q215*X215),
                                               (((Q215*U215)*(X215+(X215*EXTRA_FOR_H)))+
                                               ((Q215*V215)*X215)+
                                               ((Q215*W215)*(X215-(X215*LESS_FOR_L)))
                                    )*IF(R215=0,1,R215))))))+Z215), 0.25)</f>
        <v>3</v>
      </c>
      <c r="Z215" s="25"/>
      <c r="AA215" s="169">
        <f>Y215+Y215*VLOOKUP(I215,EXTRAS_ARRAY,2,FALSE)</f>
        <v>3</v>
      </c>
      <c r="AB215" s="23"/>
      <c r="AC215" s="37"/>
      <c r="AD215" s="26" t="str">
        <f>IF(J215&lt;&gt;"Yes",
IF(S215&lt;=0,"Error: Effort value is not defined or is invalid.",
IF(AND(SUM(U215:W215)&gt;0,SUM(U215:W215)&lt;&gt;1),"Error: Complexity % distribution should sum to 100%.",
IF(AND(P215=AS_DEV_EFFORT,X215&lt;&gt;0),"Error: PDs should not be defined when defining as dev effort %.",
IF(AND(P215=AS_DURATION_EFFORT,X215&lt;&gt;0),"Error: PDs should not be defined when defining as duration effort %.","")))))</f>
        <v/>
      </c>
    </row>
    <row r="216" spans="1:30" s="11" customFormat="1" ht="7.5" hidden="1" customHeight="1" outlineLevel="2" x14ac:dyDescent="0.3">
      <c r="A216" s="93" t="s">
        <v>132</v>
      </c>
      <c r="B216" s="18"/>
      <c r="C216" s="78"/>
      <c r="D216" s="78"/>
      <c r="E216" s="78"/>
      <c r="F216" s="78"/>
      <c r="G216" s="10"/>
      <c r="H216" s="10"/>
      <c r="I216" s="10"/>
      <c r="J216" s="10"/>
      <c r="K216" s="10"/>
      <c r="L216" s="10"/>
      <c r="M216" s="287"/>
      <c r="N216" s="10"/>
      <c r="O216" s="10"/>
      <c r="P216" s="10"/>
      <c r="Q216" s="10"/>
      <c r="R216" s="10"/>
      <c r="S216" s="10"/>
      <c r="T216" s="18"/>
      <c r="U216" s="10"/>
      <c r="V216" s="10"/>
      <c r="W216" s="10"/>
      <c r="X216" s="18"/>
      <c r="Y216" s="10"/>
      <c r="Z216" s="10"/>
      <c r="AA216" s="10"/>
      <c r="AB216" s="60"/>
      <c r="AC216" s="60"/>
      <c r="AD216" s="12"/>
    </row>
    <row r="217" spans="1:30" s="17" customFormat="1" ht="15.6" hidden="1" outlineLevel="1" x14ac:dyDescent="0.3">
      <c r="A217" s="93" t="s">
        <v>100</v>
      </c>
      <c r="B217" s="21"/>
      <c r="C217" s="84"/>
      <c r="D217" s="84"/>
      <c r="E217" s="84"/>
      <c r="F217" s="83"/>
      <c r="G217" s="32"/>
      <c r="H217" s="32"/>
      <c r="I217" s="32"/>
      <c r="J217" s="32"/>
      <c r="K217" s="32"/>
      <c r="L217" s="20">
        <f ca="1">LOOKUP(1000,INDIRECT("L1:"&amp;CELL("address",INDIRECT("R[-1]C",FALSE))))+1</f>
        <v>5</v>
      </c>
      <c r="M217" s="301" t="s">
        <v>501</v>
      </c>
      <c r="N217" s="301"/>
      <c r="O217" s="5"/>
      <c r="P217" s="33"/>
      <c r="Q217" s="33"/>
      <c r="R217" s="33"/>
      <c r="S217" s="33"/>
      <c r="T217" s="167">
        <f>IF($S$6="Exclude", SUMIFS(S218:S223, J218:J223, "&lt;&gt;Yes", G218:G223, "&lt;&gt;Yes"), SUMIFS(S218:S223, J218:J223, "&lt;&gt;Yes"))</f>
        <v>25</v>
      </c>
      <c r="U217" s="33"/>
      <c r="V217" s="33"/>
      <c r="W217" s="33"/>
      <c r="X217" s="34"/>
      <c r="Y217" s="35"/>
      <c r="Z217" s="35"/>
      <c r="AA217" s="35"/>
      <c r="AB217" s="240"/>
      <c r="AC217" s="36"/>
      <c r="AD217" s="26" t="str">
        <f>IF(M217="", "Error: Task name cannot be empty.", "")</f>
        <v/>
      </c>
    </row>
    <row r="218" spans="1:30" s="15" customFormat="1" ht="1.5" hidden="1" customHeight="1" outlineLevel="2" x14ac:dyDescent="0.3">
      <c r="A218" s="93" t="s">
        <v>101</v>
      </c>
      <c r="B218" s="21"/>
      <c r="C218" s="84"/>
      <c r="D218" s="84"/>
      <c r="E218" s="84"/>
      <c r="F218" s="83"/>
      <c r="G218" s="32"/>
      <c r="H218" s="32"/>
      <c r="I218" s="32"/>
      <c r="J218" s="32"/>
      <c r="K218" s="32"/>
      <c r="L218" s="175">
        <f ca="1">L217</f>
        <v>5</v>
      </c>
      <c r="M218" s="176" t="s">
        <v>105</v>
      </c>
      <c r="N218" s="173"/>
      <c r="O218" s="174"/>
      <c r="P218" s="33"/>
      <c r="Q218" s="33"/>
      <c r="R218" s="33"/>
      <c r="S218" s="33"/>
      <c r="T218" s="167"/>
      <c r="U218" s="33"/>
      <c r="V218" s="33"/>
      <c r="W218" s="33"/>
      <c r="X218" s="34"/>
      <c r="Y218" s="35"/>
      <c r="Z218" s="35"/>
      <c r="AA218" s="35"/>
      <c r="AB218" s="36"/>
      <c r="AC218" s="36"/>
      <c r="AD218" s="26"/>
    </row>
    <row r="219" spans="1:30" ht="43.2" hidden="1" outlineLevel="2" x14ac:dyDescent="0.3">
      <c r="A219" s="93" t="s">
        <v>0</v>
      </c>
      <c r="B219" s="21"/>
      <c r="C219" s="85"/>
      <c r="D219" s="85"/>
      <c r="E219" s="85"/>
      <c r="F219" s="86"/>
      <c r="G219" s="22" t="s">
        <v>23</v>
      </c>
      <c r="H219" s="22" t="s">
        <v>23</v>
      </c>
      <c r="I219" s="23" t="s">
        <v>23</v>
      </c>
      <c r="J219" s="22" t="s">
        <v>23</v>
      </c>
      <c r="K219" s="38"/>
      <c r="L219" s="22"/>
      <c r="M219" s="286" t="str">
        <f t="shared" ref="M219:M222" ca="1" si="10">IFERROR(OFFSET(M219,-1,,1,1)+0.1,OFFSET(M219,-1,-1,1,1)&amp;".1")</f>
        <v>5.1</v>
      </c>
      <c r="N219" s="23" t="s">
        <v>502</v>
      </c>
      <c r="O219" s="23"/>
      <c r="P219" s="23" t="s">
        <v>571</v>
      </c>
      <c r="Q219" s="144">
        <v>3</v>
      </c>
      <c r="R219" s="137">
        <f>Total_Screens</f>
        <v>0</v>
      </c>
      <c r="S219" s="169">
        <f t="shared" ref="S219:S222" si="11">CEILING((IF(J219="Yes", 0, IF(H219="-",AA219,AA219+AA219*VLOOKUP(H219,BUFFERS_BY_TYPE,2,FALSE)))) +
   (IF(J219="Yes", 0, IF(H219="-",AA219,AA219+AA219*VLOOKUP(H219,BUFFERS_BY_TYPE,2,FALSE))))*VLOOKUP($S$5, SALES_CALL_SCALE_ARRAY, 2,FALSE),0.25)</f>
        <v>3</v>
      </c>
      <c r="T219" s="170"/>
      <c r="U219" s="24">
        <v>0</v>
      </c>
      <c r="V219" s="24">
        <v>1</v>
      </c>
      <c r="W219" s="24">
        <v>0</v>
      </c>
      <c r="X219" s="168">
        <v>1</v>
      </c>
      <c r="Y219" s="169">
        <f t="shared" ref="Y219:Y222" si="12">CEILING((IF(P219=AS_DEV_EFFORT, DEV_EFFORT*Q219%,
                           IF(P219=AS_DURATION_EFFORT, (MANUAL_DURATION*5)*Q219%,
                                    (IF(Q219&lt;=1,X219,
                                          IF(SUM(U219:W219)=0,(Q219*X219),
                                               (((Q219*U219)*(X219+(X219*EXTRA_FOR_H)))+
                                               ((Q219*V219)*X219)+
                                               ((Q219*W219)*(X219-(X219*LESS_FOR_L)))
                                    )*IF(R219=0,1,R219))))))+Z219), 0.25)</f>
        <v>3</v>
      </c>
      <c r="Z219" s="25"/>
      <c r="AA219" s="169">
        <f t="shared" ref="AA219:AA222" si="13">Y219+Y219*VLOOKUP(I219,EXTRAS_ARRAY,2,FALSE)</f>
        <v>3</v>
      </c>
      <c r="AB219" s="23"/>
      <c r="AC219" s="37"/>
      <c r="AD219" s="26" t="str">
        <f t="shared" ref="AD219:AD222" si="14">IF(J219&lt;&gt;"Yes",
IF(S219&lt;=0,"Error: Effort value is not defined or is invalid.",
IF(AND(SUM(U219:W219)&gt;0,SUM(U219:W219)&lt;&gt;1),"Error: Complexity % distribution should sum to 100%.",
IF(AND(P219=AS_DEV_EFFORT,X219&lt;&gt;0),"Error: PDs should not be defined when defining as dev effort %.",
IF(AND(P219=AS_DURATION_EFFORT,X219&lt;&gt;0),"Error: PDs should not be defined when defining as duration effort %.","")))))</f>
        <v/>
      </c>
    </row>
    <row r="220" spans="1:30" ht="43.2" hidden="1" outlineLevel="2" x14ac:dyDescent="0.3">
      <c r="A220" s="93" t="s">
        <v>0</v>
      </c>
      <c r="B220" s="21"/>
      <c r="C220" s="85"/>
      <c r="D220" s="85"/>
      <c r="E220" s="85"/>
      <c r="F220" s="86"/>
      <c r="G220" s="22" t="s">
        <v>23</v>
      </c>
      <c r="H220" s="22" t="s">
        <v>23</v>
      </c>
      <c r="I220" s="23" t="s">
        <v>23</v>
      </c>
      <c r="J220" s="22" t="s">
        <v>23</v>
      </c>
      <c r="K220" s="38"/>
      <c r="L220" s="22"/>
      <c r="M220" s="286">
        <f t="shared" ca="1" si="10"/>
        <v>5.1999999999999993</v>
      </c>
      <c r="N220" s="23" t="s">
        <v>503</v>
      </c>
      <c r="O220" s="23"/>
      <c r="P220" s="23" t="s">
        <v>572</v>
      </c>
      <c r="Q220" s="144">
        <v>10</v>
      </c>
      <c r="R220" s="137">
        <f>Total_Screens</f>
        <v>0</v>
      </c>
      <c r="S220" s="169">
        <f t="shared" si="11"/>
        <v>10</v>
      </c>
      <c r="T220" s="170"/>
      <c r="U220" s="24">
        <v>0</v>
      </c>
      <c r="V220" s="24">
        <v>1</v>
      </c>
      <c r="W220" s="24">
        <v>0</v>
      </c>
      <c r="X220" s="168">
        <v>1</v>
      </c>
      <c r="Y220" s="169">
        <f t="shared" si="12"/>
        <v>10</v>
      </c>
      <c r="Z220" s="25"/>
      <c r="AA220" s="169">
        <f t="shared" si="13"/>
        <v>10</v>
      </c>
      <c r="AB220" s="23"/>
      <c r="AC220" s="37"/>
      <c r="AD220" s="26" t="str">
        <f t="shared" si="14"/>
        <v/>
      </c>
    </row>
    <row r="221" spans="1:30" ht="43.2" hidden="1" outlineLevel="2" x14ac:dyDescent="0.3">
      <c r="A221" s="93" t="s">
        <v>0</v>
      </c>
      <c r="B221" s="21"/>
      <c r="C221" s="85"/>
      <c r="D221" s="85"/>
      <c r="E221" s="85"/>
      <c r="F221" s="86"/>
      <c r="G221" s="22" t="s">
        <v>6</v>
      </c>
      <c r="H221" s="22" t="s">
        <v>23</v>
      </c>
      <c r="I221" s="23" t="s">
        <v>23</v>
      </c>
      <c r="J221" s="22" t="s">
        <v>23</v>
      </c>
      <c r="K221" s="38"/>
      <c r="L221" s="22"/>
      <c r="M221" s="286">
        <f t="shared" ca="1" si="10"/>
        <v>5.2999999999999989</v>
      </c>
      <c r="N221" s="23" t="s">
        <v>574</v>
      </c>
      <c r="O221" s="23"/>
      <c r="P221" s="23" t="s">
        <v>576</v>
      </c>
      <c r="Q221" s="144">
        <v>30</v>
      </c>
      <c r="R221" s="137"/>
      <c r="S221" s="169">
        <f t="shared" si="11"/>
        <v>7.5</v>
      </c>
      <c r="T221" s="170"/>
      <c r="U221" s="24">
        <v>0</v>
      </c>
      <c r="V221" s="24">
        <v>1</v>
      </c>
      <c r="W221" s="24">
        <v>0</v>
      </c>
      <c r="X221" s="168">
        <v>0.25</v>
      </c>
      <c r="Y221" s="169">
        <f t="shared" si="12"/>
        <v>7.5</v>
      </c>
      <c r="Z221" s="25"/>
      <c r="AA221" s="169">
        <f t="shared" si="13"/>
        <v>7.5</v>
      </c>
      <c r="AB221" s="23"/>
      <c r="AC221" s="37"/>
      <c r="AD221" s="26" t="str">
        <f t="shared" si="14"/>
        <v/>
      </c>
    </row>
    <row r="222" spans="1:30" ht="43.2" hidden="1" outlineLevel="2" x14ac:dyDescent="0.3">
      <c r="A222" s="93" t="s">
        <v>0</v>
      </c>
      <c r="B222" s="21"/>
      <c r="C222" s="85"/>
      <c r="D222" s="85"/>
      <c r="E222" s="85"/>
      <c r="F222" s="86"/>
      <c r="G222" s="22" t="s">
        <v>6</v>
      </c>
      <c r="H222" s="22" t="s">
        <v>23</v>
      </c>
      <c r="I222" s="23" t="s">
        <v>23</v>
      </c>
      <c r="J222" s="22" t="s">
        <v>23</v>
      </c>
      <c r="K222" s="38"/>
      <c r="L222" s="22"/>
      <c r="M222" s="286">
        <f t="shared" ca="1" si="10"/>
        <v>5.3999999999999986</v>
      </c>
      <c r="N222" s="23" t="s">
        <v>575</v>
      </c>
      <c r="O222" s="23"/>
      <c r="P222" s="23" t="s">
        <v>576</v>
      </c>
      <c r="Q222" s="144">
        <v>30</v>
      </c>
      <c r="R222" s="137"/>
      <c r="S222" s="169">
        <f t="shared" si="11"/>
        <v>4.5</v>
      </c>
      <c r="T222" s="170"/>
      <c r="U222" s="24">
        <v>0</v>
      </c>
      <c r="V222" s="24">
        <v>1</v>
      </c>
      <c r="W222" s="24">
        <v>0</v>
      </c>
      <c r="X222" s="168">
        <v>0.15</v>
      </c>
      <c r="Y222" s="169">
        <f t="shared" si="12"/>
        <v>4.5</v>
      </c>
      <c r="Z222" s="25"/>
      <c r="AA222" s="169">
        <f t="shared" si="13"/>
        <v>4.5</v>
      </c>
      <c r="AB222" s="23"/>
      <c r="AC222" s="37"/>
      <c r="AD222" s="26" t="str">
        <f t="shared" si="14"/>
        <v/>
      </c>
    </row>
    <row r="223" spans="1:30" s="11" customFormat="1" ht="7.5" hidden="1" customHeight="1" outlineLevel="2" x14ac:dyDescent="0.3">
      <c r="A223" s="93" t="s">
        <v>132</v>
      </c>
      <c r="B223" s="18"/>
      <c r="C223" s="78"/>
      <c r="D223" s="78"/>
      <c r="E223" s="78"/>
      <c r="F223" s="78"/>
      <c r="G223" s="10"/>
      <c r="H223" s="10"/>
      <c r="I223" s="10"/>
      <c r="J223" s="10"/>
      <c r="K223" s="10"/>
      <c r="L223" s="10"/>
      <c r="M223" s="287"/>
      <c r="N223" s="10"/>
      <c r="O223" s="10"/>
      <c r="P223" s="10"/>
      <c r="Q223" s="10"/>
      <c r="R223" s="10"/>
      <c r="S223" s="10"/>
      <c r="T223" s="18"/>
      <c r="U223" s="10"/>
      <c r="V223" s="10"/>
      <c r="W223" s="10"/>
      <c r="X223" s="18"/>
      <c r="Y223" s="10"/>
      <c r="Z223" s="10"/>
      <c r="AA223" s="10"/>
      <c r="AB223" s="60"/>
      <c r="AC223" s="60"/>
      <c r="AD223" s="12"/>
    </row>
    <row r="224" spans="1:30" s="11" customFormat="1" ht="3" hidden="1" customHeight="1" outlineLevel="1" x14ac:dyDescent="0.3">
      <c r="A224" s="93" t="s">
        <v>102</v>
      </c>
      <c r="B224" s="10"/>
      <c r="C224" s="78"/>
      <c r="D224" s="78"/>
      <c r="E224" s="78"/>
      <c r="F224" s="78"/>
      <c r="G224" s="59"/>
      <c r="H224" s="59"/>
      <c r="I224" s="59"/>
      <c r="J224" s="59"/>
      <c r="K224" s="59"/>
      <c r="L224" s="61"/>
      <c r="M224" s="288"/>
      <c r="N224" s="62"/>
      <c r="O224" s="62"/>
      <c r="P224" s="61"/>
      <c r="Q224" s="61"/>
      <c r="R224" s="61"/>
      <c r="S224" s="61"/>
      <c r="T224" s="61"/>
      <c r="U224" s="61"/>
      <c r="V224" s="61"/>
      <c r="W224" s="61"/>
      <c r="X224" s="61"/>
      <c r="Y224" s="61"/>
      <c r="Z224" s="61"/>
      <c r="AA224" s="61"/>
      <c r="AB224" s="62"/>
      <c r="AC224" s="62"/>
      <c r="AD224" s="12"/>
    </row>
    <row r="225" spans="1:30" s="17" customFormat="1" ht="18" collapsed="1" x14ac:dyDescent="0.3">
      <c r="A225" s="93" t="s">
        <v>98</v>
      </c>
      <c r="B225" s="14"/>
      <c r="C225" s="79"/>
      <c r="D225" s="79"/>
      <c r="E225" s="79"/>
      <c r="F225" s="78"/>
      <c r="G225" s="55"/>
      <c r="H225" s="55"/>
      <c r="I225" s="55"/>
      <c r="J225" s="55"/>
      <c r="K225" s="55"/>
      <c r="L225" s="55" t="s">
        <v>71</v>
      </c>
      <c r="M225" s="284" t="s">
        <v>75</v>
      </c>
      <c r="N225" s="56"/>
      <c r="O225" s="57"/>
      <c r="P225" s="58"/>
      <c r="Q225" s="58"/>
      <c r="R225" s="58"/>
      <c r="S225" s="331">
        <f>CEILING(SUMIF(J226:J247, "&lt;&gt;Yes", T226:T247),1)</f>
        <v>63</v>
      </c>
      <c r="T225" s="331"/>
      <c r="U225" s="58"/>
      <c r="V225" s="58"/>
      <c r="W225" s="58"/>
      <c r="X225" s="58"/>
      <c r="Y225" s="58"/>
      <c r="Z225" s="58"/>
      <c r="AA225" s="58"/>
      <c r="AB225" s="58"/>
      <c r="AC225" s="58"/>
      <c r="AD225" s="16"/>
    </row>
    <row r="226" spans="1:30" s="11" customFormat="1" ht="3" hidden="1" customHeight="1" outlineLevel="1" x14ac:dyDescent="0.3">
      <c r="A226" s="93" t="s">
        <v>99</v>
      </c>
      <c r="B226" s="18"/>
      <c r="C226" s="78"/>
      <c r="D226" s="78"/>
      <c r="E226" s="78"/>
      <c r="F226" s="78"/>
      <c r="G226" s="28"/>
      <c r="H226" s="28"/>
      <c r="I226" s="28"/>
      <c r="J226" s="28"/>
      <c r="K226" s="28"/>
      <c r="L226" s="29">
        <v>0</v>
      </c>
      <c r="M226" s="285"/>
      <c r="N226" s="28"/>
      <c r="O226" s="28"/>
      <c r="P226" s="28"/>
      <c r="Q226" s="28"/>
      <c r="R226" s="28"/>
      <c r="S226" s="28"/>
      <c r="T226" s="30"/>
      <c r="U226" s="28"/>
      <c r="V226" s="28"/>
      <c r="W226" s="28"/>
      <c r="X226" s="30"/>
      <c r="Y226" s="28"/>
      <c r="Z226" s="28"/>
      <c r="AA226" s="28"/>
      <c r="AB226" s="31"/>
      <c r="AC226" s="31"/>
      <c r="AD226" s="12"/>
    </row>
    <row r="227" spans="1:30" s="17" customFormat="1" ht="15.6" hidden="1" outlineLevel="1" x14ac:dyDescent="0.3">
      <c r="A227" s="93" t="s">
        <v>100</v>
      </c>
      <c r="B227" s="21"/>
      <c r="C227" s="84"/>
      <c r="D227" s="84"/>
      <c r="E227" s="84"/>
      <c r="F227" s="83"/>
      <c r="G227" s="32"/>
      <c r="H227" s="32"/>
      <c r="I227" s="32"/>
      <c r="J227" s="32"/>
      <c r="K227" s="32"/>
      <c r="L227" s="20">
        <f ca="1">LOOKUP(1000,INDIRECT("L1:"&amp;CELL("address",INDIRECT("R[-1]C",FALSE))))+1</f>
        <v>1</v>
      </c>
      <c r="M227" s="301" t="s">
        <v>504</v>
      </c>
      <c r="N227" s="301"/>
      <c r="O227" s="5"/>
      <c r="P227" s="33"/>
      <c r="Q227" s="33"/>
      <c r="R227" s="33"/>
      <c r="S227" s="33"/>
      <c r="T227" s="167">
        <f>IF($S$6="Exclude", SUMIFS(S228:S231, J228:J231, "&lt;&gt;Yes", G228:G231, "&lt;&gt;Yes"), SUMIFS(S228:S231, J228:J231, "&lt;&gt;Yes"))</f>
        <v>20</v>
      </c>
      <c r="U227" s="33"/>
      <c r="V227" s="33"/>
      <c r="W227" s="33"/>
      <c r="X227" s="34"/>
      <c r="Y227" s="35"/>
      <c r="Z227" s="35"/>
      <c r="AA227" s="35"/>
      <c r="AB227" s="240"/>
      <c r="AC227" s="36"/>
      <c r="AD227" s="26" t="str">
        <f>IF(M227="", "Error: Task name cannot be empty.", "")</f>
        <v/>
      </c>
    </row>
    <row r="228" spans="1:30" s="15" customFormat="1" ht="1.5" hidden="1" customHeight="1" outlineLevel="2" x14ac:dyDescent="0.3">
      <c r="A228" s="93" t="s">
        <v>101</v>
      </c>
      <c r="B228" s="21"/>
      <c r="C228" s="84"/>
      <c r="D228" s="84"/>
      <c r="E228" s="84"/>
      <c r="F228" s="83"/>
      <c r="G228" s="32"/>
      <c r="H228" s="32"/>
      <c r="I228" s="32"/>
      <c r="J228" s="32"/>
      <c r="K228" s="32"/>
      <c r="L228" s="175">
        <f ca="1">L227</f>
        <v>1</v>
      </c>
      <c r="M228" s="176" t="s">
        <v>105</v>
      </c>
      <c r="N228" s="173"/>
      <c r="O228" s="174"/>
      <c r="P228" s="33"/>
      <c r="Q228" s="33"/>
      <c r="R228" s="33"/>
      <c r="S228" s="33"/>
      <c r="T228" s="167"/>
      <c r="U228" s="33"/>
      <c r="V228" s="33"/>
      <c r="W228" s="33"/>
      <c r="X228" s="34"/>
      <c r="Y228" s="35"/>
      <c r="Z228" s="35"/>
      <c r="AA228" s="35"/>
      <c r="AB228" s="36"/>
      <c r="AC228" s="36"/>
      <c r="AD228" s="26"/>
    </row>
    <row r="229" spans="1:30" ht="43.2" hidden="1" outlineLevel="2" x14ac:dyDescent="0.3">
      <c r="A229" s="93" t="s">
        <v>0</v>
      </c>
      <c r="B229" s="21"/>
      <c r="C229" s="85"/>
      <c r="D229" s="85"/>
      <c r="E229" s="85"/>
      <c r="F229" s="86"/>
      <c r="G229" s="22" t="s">
        <v>23</v>
      </c>
      <c r="H229" s="22" t="s">
        <v>23</v>
      </c>
      <c r="I229" s="23" t="s">
        <v>23</v>
      </c>
      <c r="J229" s="22" t="s">
        <v>23</v>
      </c>
      <c r="K229" s="38"/>
      <c r="L229" s="22"/>
      <c r="M229" s="286" t="str">
        <f ca="1">IFERROR(OFFSET(M229,-1,,1,1)+0.1,OFFSET(M229,-1,-1,1,1)&amp;".1")</f>
        <v>1.1</v>
      </c>
      <c r="N229" s="23" t="s">
        <v>505</v>
      </c>
      <c r="O229" s="23"/>
      <c r="P229" s="23" t="s">
        <v>510</v>
      </c>
      <c r="Q229" s="144">
        <v>20</v>
      </c>
      <c r="R229" s="137"/>
      <c r="S229" s="169">
        <f>CEILING((IF(J229="Yes", 0, IF(H229="-",AA229,AA229+AA229*VLOOKUP(H229,BUFFERS_BY_TYPE,2,FALSE)))) +
   (IF(J229="Yes", 0, IF(H229="-",AA229,AA229+AA229*VLOOKUP(H229,BUFFERS_BY_TYPE,2,FALSE))))*VLOOKUP($S$5, SALES_CALL_SCALE_ARRAY, 2,FALSE),0.25)</f>
        <v>10</v>
      </c>
      <c r="T229" s="170"/>
      <c r="U229" s="24">
        <v>0</v>
      </c>
      <c r="V229" s="24">
        <v>1</v>
      </c>
      <c r="W229" s="24">
        <v>0</v>
      </c>
      <c r="X229" s="168">
        <v>0.5</v>
      </c>
      <c r="Y229" s="169">
        <f>CEILING((IF(P229=AS_DEV_EFFORT, DEV_EFFORT*Q229%,
                           IF(P229=AS_DURATION_EFFORT, (MANUAL_DURATION*5)*Q229%,
                                    (IF(Q229&lt;=1,X229,
                                          IF(SUM(U229:W229)=0,(Q229*X229),
                                               (((Q229*U229)*(X229+(X229*EXTRA_FOR_H)))+
                                               ((Q229*V229)*X229)+
                                               ((Q229*W229)*(X229-(X229*LESS_FOR_L)))
                                    )*IF(R229=0,1,R229))))))+Z229), 0.25)</f>
        <v>10</v>
      </c>
      <c r="Z229" s="25"/>
      <c r="AA229" s="169">
        <f>Y229+Y229*VLOOKUP(I229,EXTRAS_ARRAY,2,FALSE)</f>
        <v>10</v>
      </c>
      <c r="AB229" s="23"/>
      <c r="AC229" s="37"/>
      <c r="AD229" s="26" t="str">
        <f>IF(J229&lt;&gt;"Yes",
IF(S229&lt;=0,"Error: Effort value is not defined or is invalid.",
IF(AND(SUM(U229:W229)&gt;0,SUM(U229:W229)&lt;&gt;1),"Error: Complexity % distribution should sum to 100%.",
IF(AND(P229=AS_DEV_EFFORT,X229&lt;&gt;0),"Error: PDs should not be defined when defining as dev effort %.",
IF(AND(P229=AS_DURATION_EFFORT,X229&lt;&gt;0),"Error: PDs should not be defined when defining as duration effort %.","")))))</f>
        <v/>
      </c>
    </row>
    <row r="230" spans="1:30" ht="43.2" hidden="1" outlineLevel="2" x14ac:dyDescent="0.3">
      <c r="A230" s="93" t="s">
        <v>0</v>
      </c>
      <c r="B230" s="21"/>
      <c r="C230" s="85"/>
      <c r="D230" s="85"/>
      <c r="E230" s="85"/>
      <c r="F230" s="86"/>
      <c r="G230" s="22" t="s">
        <v>23</v>
      </c>
      <c r="H230" s="22" t="s">
        <v>23</v>
      </c>
      <c r="I230" s="23" t="s">
        <v>23</v>
      </c>
      <c r="J230" s="22" t="s">
        <v>23</v>
      </c>
      <c r="K230" s="38"/>
      <c r="L230" s="22"/>
      <c r="M230" s="286">
        <f ca="1">IFERROR(OFFSET(M230,-1,,1,1)+0.1,OFFSET(M230,-1,-1,1,1)&amp;".1")</f>
        <v>1.2000000000000002</v>
      </c>
      <c r="N230" s="23" t="s">
        <v>506</v>
      </c>
      <c r="O230" s="23"/>
      <c r="P230" s="23" t="s">
        <v>509</v>
      </c>
      <c r="Q230" s="144">
        <v>10</v>
      </c>
      <c r="R230" s="137"/>
      <c r="S230" s="169">
        <f>CEILING((IF(J230="Yes", 0, IF(H230="-",AA230,AA230+AA230*VLOOKUP(H230,BUFFERS_BY_TYPE,2,FALSE)))) +
   (IF(J230="Yes", 0, IF(H230="-",AA230,AA230+AA230*VLOOKUP(H230,BUFFERS_BY_TYPE,2,FALSE))))*VLOOKUP($S$5, SALES_CALL_SCALE_ARRAY, 2,FALSE),0.25)</f>
        <v>10</v>
      </c>
      <c r="T230" s="170"/>
      <c r="U230" s="24">
        <v>0</v>
      </c>
      <c r="V230" s="24">
        <v>1</v>
      </c>
      <c r="W230" s="24">
        <v>0</v>
      </c>
      <c r="X230" s="168">
        <v>1</v>
      </c>
      <c r="Y230" s="169">
        <f>CEILING((IF(P230=AS_DEV_EFFORT, DEV_EFFORT*Q230%,
                           IF(P230=AS_DURATION_EFFORT, (MANUAL_DURATION*5)*Q230%,
                                    (IF(Q230&lt;=1,X230,
                                          IF(SUM(U230:W230)=0,(Q230*X230),
                                               (((Q230*U230)*(X230+(X230*EXTRA_FOR_H)))+
                                               ((Q230*V230)*X230)+
                                               ((Q230*W230)*(X230-(X230*LESS_FOR_L)))
                                    )*IF(R230=0,1,R230))))))+Z230), 0.25)</f>
        <v>10</v>
      </c>
      <c r="Z230" s="25"/>
      <c r="AA230" s="169">
        <f>Y230+Y230*VLOOKUP(I230,EXTRAS_ARRAY,2,FALSE)</f>
        <v>10</v>
      </c>
      <c r="AB230" s="23"/>
      <c r="AC230" s="37"/>
      <c r="AD230" s="26" t="str">
        <f>IF(J230&lt;&gt;"Yes",
IF(S230&lt;=0,"Error: Effort value is not defined or is invalid.",
IF(AND(SUM(U230:W230)&gt;0,SUM(U230:W230)&lt;&gt;1),"Error: Complexity % distribution should sum to 100%.",
IF(AND(P230=AS_DEV_EFFORT,X230&lt;&gt;0),"Error: PDs should not be defined when defining as dev effort %.",
IF(AND(P230=AS_DURATION_EFFORT,X230&lt;&gt;0),"Error: PDs should not be defined when defining as duration effort %.","")))))</f>
        <v/>
      </c>
    </row>
    <row r="231" spans="1:30" s="11" customFormat="1" ht="7.5" hidden="1" customHeight="1" outlineLevel="2" x14ac:dyDescent="0.3">
      <c r="A231" s="93" t="s">
        <v>132</v>
      </c>
      <c r="B231" s="18"/>
      <c r="C231" s="78"/>
      <c r="D231" s="78"/>
      <c r="E231" s="78"/>
      <c r="F231" s="78"/>
      <c r="G231" s="10"/>
      <c r="H231" s="10"/>
      <c r="I231" s="10"/>
      <c r="J231" s="10"/>
      <c r="K231" s="10"/>
      <c r="L231" s="10"/>
      <c r="M231" s="287"/>
      <c r="N231" s="10"/>
      <c r="O231" s="10"/>
      <c r="P231" s="10"/>
      <c r="Q231" s="10"/>
      <c r="R231" s="10"/>
      <c r="S231" s="10"/>
      <c r="T231" s="18"/>
      <c r="U231" s="10"/>
      <c r="V231" s="10"/>
      <c r="W231" s="10"/>
      <c r="X231" s="18"/>
      <c r="Y231" s="10"/>
      <c r="Z231" s="10"/>
      <c r="AA231" s="10"/>
      <c r="AB231" s="60"/>
      <c r="AC231" s="60"/>
      <c r="AD231" s="12"/>
    </row>
    <row r="232" spans="1:30" s="17" customFormat="1" ht="15.6" hidden="1" outlineLevel="1" x14ac:dyDescent="0.3">
      <c r="A232" s="93" t="s">
        <v>100</v>
      </c>
      <c r="B232" s="21"/>
      <c r="C232" s="84"/>
      <c r="D232" s="84"/>
      <c r="E232" s="84"/>
      <c r="F232" s="83"/>
      <c r="G232" s="32"/>
      <c r="H232" s="32"/>
      <c r="I232" s="32"/>
      <c r="J232" s="32"/>
      <c r="K232" s="32"/>
      <c r="L232" s="20">
        <f ca="1">LOOKUP(1000,INDIRECT("L1:"&amp;CELL("address",INDIRECT("R[-1]C",FALSE))))+1</f>
        <v>2</v>
      </c>
      <c r="M232" s="301" t="s">
        <v>507</v>
      </c>
      <c r="N232" s="301"/>
      <c r="O232" s="5"/>
      <c r="P232" s="33"/>
      <c r="Q232" s="33"/>
      <c r="R232" s="33"/>
      <c r="S232" s="33"/>
      <c r="T232" s="167">
        <f>IF($S$6="Exclude", SUMIFS(S233:S235, J233:J235, "&lt;&gt;Yes", G233:G235, "&lt;&gt;Yes"), SUMIFS(S233:S235, J233:J235, "&lt;&gt;Yes"))</f>
        <v>10</v>
      </c>
      <c r="U232" s="33"/>
      <c r="V232" s="33"/>
      <c r="W232" s="33"/>
      <c r="X232" s="34"/>
      <c r="Y232" s="35"/>
      <c r="Z232" s="35"/>
      <c r="AA232" s="35"/>
      <c r="AB232" s="240"/>
      <c r="AC232" s="36"/>
      <c r="AD232" s="26" t="str">
        <f>IF(M232="", "Error: Task name cannot be empty.", "")</f>
        <v/>
      </c>
    </row>
    <row r="233" spans="1:30" s="15" customFormat="1" ht="1.5" hidden="1" customHeight="1" outlineLevel="2" x14ac:dyDescent="0.3">
      <c r="A233" s="93" t="s">
        <v>101</v>
      </c>
      <c r="B233" s="21"/>
      <c r="C233" s="84"/>
      <c r="D233" s="84"/>
      <c r="E233" s="84"/>
      <c r="F233" s="83"/>
      <c r="G233" s="32"/>
      <c r="H233" s="32"/>
      <c r="I233" s="32"/>
      <c r="J233" s="32"/>
      <c r="K233" s="32"/>
      <c r="L233" s="175">
        <f ca="1">L232</f>
        <v>2</v>
      </c>
      <c r="M233" s="176" t="s">
        <v>105</v>
      </c>
      <c r="N233" s="173"/>
      <c r="O233" s="174"/>
      <c r="P233" s="33"/>
      <c r="Q233" s="33"/>
      <c r="R233" s="33"/>
      <c r="S233" s="33"/>
      <c r="T233" s="167"/>
      <c r="U233" s="33"/>
      <c r="V233" s="33"/>
      <c r="W233" s="33"/>
      <c r="X233" s="34"/>
      <c r="Y233" s="35"/>
      <c r="Z233" s="35"/>
      <c r="AA233" s="35"/>
      <c r="AB233" s="36"/>
      <c r="AC233" s="36"/>
      <c r="AD233" s="26"/>
    </row>
    <row r="234" spans="1:30" ht="57.6" hidden="1" outlineLevel="2" x14ac:dyDescent="0.3">
      <c r="A234" s="93" t="s">
        <v>0</v>
      </c>
      <c r="B234" s="21"/>
      <c r="C234" s="85"/>
      <c r="D234" s="85"/>
      <c r="E234" s="85"/>
      <c r="F234" s="86"/>
      <c r="G234" s="22" t="s">
        <v>23</v>
      </c>
      <c r="H234" s="22" t="s">
        <v>23</v>
      </c>
      <c r="I234" s="23" t="s">
        <v>23</v>
      </c>
      <c r="J234" s="22" t="s">
        <v>23</v>
      </c>
      <c r="K234" s="38"/>
      <c r="L234" s="22"/>
      <c r="M234" s="286" t="str">
        <f ca="1">IFERROR(OFFSET(M234,-1,,1,1)+0.1,OFFSET(M234,-1,-1,1,1)&amp;".1")</f>
        <v>2.1</v>
      </c>
      <c r="N234" s="23" t="s">
        <v>508</v>
      </c>
      <c r="O234" s="23"/>
      <c r="P234" s="23" t="s">
        <v>523</v>
      </c>
      <c r="Q234" s="144">
        <v>2</v>
      </c>
      <c r="R234" s="137"/>
      <c r="S234" s="169">
        <f>CEILING((IF(J234="Yes", 0, IF(H234="-",AA234,AA234+AA234*VLOOKUP(H234,BUFFERS_BY_TYPE,2,FALSE)))) +
   (IF(J234="Yes", 0, IF(H234="-",AA234,AA234+AA234*VLOOKUP(H234,BUFFERS_BY_TYPE,2,FALSE))))*VLOOKUP($S$5, SALES_CALL_SCALE_ARRAY, 2,FALSE),0.25)</f>
        <v>10</v>
      </c>
      <c r="T234" s="170"/>
      <c r="U234" s="24">
        <v>0</v>
      </c>
      <c r="V234" s="24">
        <v>1</v>
      </c>
      <c r="W234" s="24">
        <v>0</v>
      </c>
      <c r="X234" s="168">
        <v>5</v>
      </c>
      <c r="Y234" s="169">
        <f>CEILING((IF(P234=AS_DEV_EFFORT, DEV_EFFORT*Q234%,
                           IF(P234=AS_DURATION_EFFORT, (MANUAL_DURATION*5)*Q234%,
                                    (IF(Q234&lt;=1,X234,
                                          IF(SUM(U234:W234)=0,(Q234*X234),
                                               (((Q234*U234)*(X234+(X234*EXTRA_FOR_H)))+
                                               ((Q234*V234)*X234)+
                                               ((Q234*W234)*(X234-(X234*LESS_FOR_L)))
                                    )*IF(R234=0,1,R234))))))+Z234), 0.25)</f>
        <v>10</v>
      </c>
      <c r="Z234" s="25"/>
      <c r="AA234" s="169">
        <f>Y234+Y234*VLOOKUP(I234,EXTRAS_ARRAY,2,FALSE)</f>
        <v>10</v>
      </c>
      <c r="AB234" s="23" t="s">
        <v>524</v>
      </c>
      <c r="AC234" s="37"/>
      <c r="AD234" s="26" t="str">
        <f>IF(J234&lt;&gt;"Yes",
IF(S234&lt;=0,"Error: Effort value is not defined or is invalid.",
IF(AND(SUM(U234:W234)&gt;0,SUM(U234:W234)&lt;&gt;1),"Error: Complexity % distribution should sum to 100%.",
IF(AND(P234=AS_DEV_EFFORT,X234&lt;&gt;0),"Error: PDs should not be defined when defining as dev effort %.",
IF(AND(P234=AS_DURATION_EFFORT,X234&lt;&gt;0),"Error: PDs should not be defined when defining as duration effort %.","")))))</f>
        <v/>
      </c>
    </row>
    <row r="235" spans="1:30" s="11" customFormat="1" ht="7.5" hidden="1" customHeight="1" outlineLevel="2" x14ac:dyDescent="0.3">
      <c r="A235" s="93" t="s">
        <v>132</v>
      </c>
      <c r="B235" s="18"/>
      <c r="C235" s="78"/>
      <c r="D235" s="78"/>
      <c r="E235" s="78"/>
      <c r="F235" s="78"/>
      <c r="G235" s="10"/>
      <c r="H235" s="10"/>
      <c r="I235" s="10"/>
      <c r="J235" s="10"/>
      <c r="K235" s="10"/>
      <c r="L235" s="10"/>
      <c r="M235" s="287"/>
      <c r="N235" s="10"/>
      <c r="O235" s="10"/>
      <c r="P235" s="10"/>
      <c r="Q235" s="10"/>
      <c r="R235" s="10"/>
      <c r="S235" s="10"/>
      <c r="T235" s="18"/>
      <c r="U235" s="10"/>
      <c r="V235" s="10"/>
      <c r="W235" s="10"/>
      <c r="X235" s="18"/>
      <c r="Y235" s="10"/>
      <c r="Z235" s="10"/>
      <c r="AA235" s="10"/>
      <c r="AB235" s="60"/>
      <c r="AC235" s="60"/>
      <c r="AD235" s="12"/>
    </row>
    <row r="236" spans="1:30" s="17" customFormat="1" ht="15.6" hidden="1" outlineLevel="1" x14ac:dyDescent="0.3">
      <c r="A236" s="93" t="s">
        <v>100</v>
      </c>
      <c r="B236" s="21"/>
      <c r="C236" s="84"/>
      <c r="D236" s="84"/>
      <c r="E236" s="84"/>
      <c r="F236" s="83"/>
      <c r="G236" s="32"/>
      <c r="H236" s="32"/>
      <c r="I236" s="32"/>
      <c r="J236" s="32"/>
      <c r="K236" s="32"/>
      <c r="L236" s="20">
        <f ca="1">LOOKUP(1000,INDIRECT("L1:"&amp;CELL("address",INDIRECT("R[-1]C",FALSE))))+1</f>
        <v>3</v>
      </c>
      <c r="M236" s="301" t="s">
        <v>511</v>
      </c>
      <c r="N236" s="301"/>
      <c r="O236" s="5"/>
      <c r="P236" s="33"/>
      <c r="Q236" s="33"/>
      <c r="R236" s="33"/>
      <c r="S236" s="33"/>
      <c r="T236" s="167">
        <f>IF($S$6="Exclude", SUMIFS(S237:S239, J237:J239, "&lt;&gt;Yes", G237:G239, "&lt;&gt;Yes"), SUMIFS(S237:S239, J237:J239, "&lt;&gt;Yes"))</f>
        <v>10</v>
      </c>
      <c r="U236" s="33"/>
      <c r="V236" s="33"/>
      <c r="W236" s="33"/>
      <c r="X236" s="34"/>
      <c r="Y236" s="35"/>
      <c r="Z236" s="35"/>
      <c r="AA236" s="35"/>
      <c r="AB236" s="240"/>
      <c r="AC236" s="36"/>
      <c r="AD236" s="26" t="str">
        <f>IF(M236="", "Error: Task name cannot be empty.", "")</f>
        <v/>
      </c>
    </row>
    <row r="237" spans="1:30" s="15" customFormat="1" ht="1.5" hidden="1" customHeight="1" outlineLevel="2" x14ac:dyDescent="0.3">
      <c r="A237" s="93" t="s">
        <v>101</v>
      </c>
      <c r="B237" s="21"/>
      <c r="C237" s="84"/>
      <c r="D237" s="84"/>
      <c r="E237" s="84"/>
      <c r="F237" s="83"/>
      <c r="G237" s="32"/>
      <c r="H237" s="32"/>
      <c r="I237" s="32"/>
      <c r="J237" s="32"/>
      <c r="K237" s="32"/>
      <c r="L237" s="175">
        <f ca="1">L236</f>
        <v>3</v>
      </c>
      <c r="M237" s="176" t="s">
        <v>105</v>
      </c>
      <c r="N237" s="173"/>
      <c r="O237" s="174"/>
      <c r="P237" s="33"/>
      <c r="Q237" s="33"/>
      <c r="R237" s="33"/>
      <c r="S237" s="33"/>
      <c r="T237" s="167"/>
      <c r="U237" s="33"/>
      <c r="V237" s="33"/>
      <c r="W237" s="33"/>
      <c r="X237" s="34"/>
      <c r="Y237" s="35"/>
      <c r="Z237" s="35"/>
      <c r="AA237" s="35"/>
      <c r="AB237" s="36"/>
      <c r="AC237" s="36"/>
      <c r="AD237" s="26"/>
    </row>
    <row r="238" spans="1:30" ht="43.2" hidden="1" outlineLevel="2" x14ac:dyDescent="0.3">
      <c r="A238" s="93" t="s">
        <v>0</v>
      </c>
      <c r="B238" s="21"/>
      <c r="C238" s="85"/>
      <c r="D238" s="85"/>
      <c r="E238" s="85"/>
      <c r="F238" s="86"/>
      <c r="G238" s="22" t="s">
        <v>23</v>
      </c>
      <c r="H238" s="22" t="s">
        <v>23</v>
      </c>
      <c r="I238" s="23" t="s">
        <v>23</v>
      </c>
      <c r="J238" s="22" t="s">
        <v>23</v>
      </c>
      <c r="K238" s="38"/>
      <c r="L238" s="22"/>
      <c r="M238" s="286" t="str">
        <f ca="1">IFERROR(OFFSET(M238,-1,,1,1)+0.1,OFFSET(M238,-1,-1,1,1)&amp;".1")</f>
        <v>3.1</v>
      </c>
      <c r="N238" s="23" t="s">
        <v>512</v>
      </c>
      <c r="O238" s="23"/>
      <c r="P238" s="23" t="s">
        <v>523</v>
      </c>
      <c r="Q238" s="144">
        <v>2</v>
      </c>
      <c r="R238" s="137"/>
      <c r="S238" s="169">
        <f>CEILING((IF(J238="Yes", 0, IF(H238="-",AA238,AA238+AA238*VLOOKUP(H238,BUFFERS_BY_TYPE,2,FALSE)))) +
   (IF(J238="Yes", 0, IF(H238="-",AA238,AA238+AA238*VLOOKUP(H238,BUFFERS_BY_TYPE,2,FALSE))))*VLOOKUP($S$5, SALES_CALL_SCALE_ARRAY, 2,FALSE),0.25)</f>
        <v>10</v>
      </c>
      <c r="T238" s="170"/>
      <c r="U238" s="24">
        <v>0</v>
      </c>
      <c r="V238" s="24">
        <v>1</v>
      </c>
      <c r="W238" s="24">
        <v>0</v>
      </c>
      <c r="X238" s="168">
        <v>5</v>
      </c>
      <c r="Y238" s="169">
        <f>CEILING((IF(P238=AS_DEV_EFFORT, DEV_EFFORT*Q238%,
                           IF(P238=AS_DURATION_EFFORT, (MANUAL_DURATION*5)*Q238%,
                                    (IF(Q238&lt;=1,X238,
                                          IF(SUM(U238:W238)=0,(Q238*X238),
                                               (((Q238*U238)*(X238+(X238*EXTRA_FOR_H)))+
                                               ((Q238*V238)*X238)+
                                               ((Q238*W238)*(X238-(X238*LESS_FOR_L)))
                                    )*IF(R238=0,1,R238))))))+Z238), 0.25)</f>
        <v>10</v>
      </c>
      <c r="Z238" s="25"/>
      <c r="AA238" s="169">
        <f>Y238+Y238*VLOOKUP(I238,EXTRAS_ARRAY,2,FALSE)</f>
        <v>10</v>
      </c>
      <c r="AB238" s="23" t="s">
        <v>525</v>
      </c>
      <c r="AC238" s="37"/>
      <c r="AD238" s="26" t="str">
        <f>IF(J238&lt;&gt;"Yes",
IF(S238&lt;=0,"Error: Effort value is not defined or is invalid.",
IF(AND(SUM(U238:W238)&gt;0,SUM(U238:W238)&lt;&gt;1),"Error: Complexity % distribution should sum to 100%.",
IF(AND(P238=AS_DEV_EFFORT,X238&lt;&gt;0),"Error: PDs should not be defined when defining as dev effort %.",
IF(AND(P238=AS_DURATION_EFFORT,X238&lt;&gt;0),"Error: PDs should not be defined when defining as duration effort %.","")))))</f>
        <v/>
      </c>
    </row>
    <row r="239" spans="1:30" s="11" customFormat="1" ht="7.5" hidden="1" customHeight="1" outlineLevel="2" x14ac:dyDescent="0.3">
      <c r="A239" s="93" t="s">
        <v>132</v>
      </c>
      <c r="B239" s="18"/>
      <c r="C239" s="78"/>
      <c r="D239" s="78"/>
      <c r="E239" s="78"/>
      <c r="F239" s="78"/>
      <c r="G239" s="10"/>
      <c r="H239" s="10"/>
      <c r="I239" s="10"/>
      <c r="J239" s="10"/>
      <c r="K239" s="10"/>
      <c r="L239" s="10"/>
      <c r="M239" s="287"/>
      <c r="N239" s="10"/>
      <c r="O239" s="10"/>
      <c r="P239" s="10"/>
      <c r="Q239" s="10"/>
      <c r="R239" s="10"/>
      <c r="S239" s="10"/>
      <c r="T239" s="18"/>
      <c r="U239" s="10"/>
      <c r="V239" s="10"/>
      <c r="W239" s="10"/>
      <c r="X239" s="18"/>
      <c r="Y239" s="10"/>
      <c r="Z239" s="10"/>
      <c r="AA239" s="10"/>
      <c r="AB239" s="60"/>
      <c r="AC239" s="60"/>
      <c r="AD239" s="12"/>
    </row>
    <row r="240" spans="1:30" s="17" customFormat="1" ht="15.6" hidden="1" outlineLevel="1" x14ac:dyDescent="0.3">
      <c r="A240" s="93" t="s">
        <v>100</v>
      </c>
      <c r="B240" s="21"/>
      <c r="C240" s="84"/>
      <c r="D240" s="84"/>
      <c r="E240" s="84"/>
      <c r="F240" s="83"/>
      <c r="G240" s="32"/>
      <c r="H240" s="32"/>
      <c r="I240" s="32"/>
      <c r="J240" s="32"/>
      <c r="K240" s="32"/>
      <c r="L240" s="20">
        <f ca="1">LOOKUP(1000,INDIRECT("L1:"&amp;CELL("address",INDIRECT("R[-1]C",FALSE))))+1</f>
        <v>4</v>
      </c>
      <c r="M240" s="301" t="s">
        <v>513</v>
      </c>
      <c r="N240" s="301"/>
      <c r="O240" s="5"/>
      <c r="P240" s="33"/>
      <c r="Q240" s="33"/>
      <c r="R240" s="33"/>
      <c r="S240" s="33"/>
      <c r="T240" s="167">
        <f>IF($S$6="Exclude", SUMIFS(S241:S246, J241:J246, "&lt;&gt;Yes", G241:G246, "&lt;&gt;Yes"), SUMIFS(S241:S246, J241:J246, "&lt;&gt;Yes"))</f>
        <v>23</v>
      </c>
      <c r="U240" s="33"/>
      <c r="V240" s="33"/>
      <c r="W240" s="33"/>
      <c r="X240" s="34"/>
      <c r="Y240" s="35"/>
      <c r="Z240" s="35"/>
      <c r="AA240" s="35"/>
      <c r="AB240" s="240"/>
      <c r="AC240" s="36"/>
      <c r="AD240" s="26" t="str">
        <f>IF(M240="", "Error: Task name cannot be empty.", "")</f>
        <v/>
      </c>
    </row>
    <row r="241" spans="1:30" s="15" customFormat="1" ht="1.5" hidden="1" customHeight="1" outlineLevel="2" x14ac:dyDescent="0.3">
      <c r="A241" s="93" t="s">
        <v>101</v>
      </c>
      <c r="B241" s="21"/>
      <c r="C241" s="84"/>
      <c r="D241" s="84"/>
      <c r="E241" s="84"/>
      <c r="F241" s="83"/>
      <c r="G241" s="32"/>
      <c r="H241" s="32"/>
      <c r="I241" s="32"/>
      <c r="J241" s="32"/>
      <c r="K241" s="32"/>
      <c r="L241" s="175">
        <f ca="1">L240</f>
        <v>4</v>
      </c>
      <c r="M241" s="176" t="s">
        <v>105</v>
      </c>
      <c r="N241" s="173"/>
      <c r="O241" s="174"/>
      <c r="P241" s="33"/>
      <c r="Q241" s="33"/>
      <c r="R241" s="33"/>
      <c r="S241" s="33"/>
      <c r="T241" s="167"/>
      <c r="U241" s="33"/>
      <c r="V241" s="33"/>
      <c r="W241" s="33"/>
      <c r="X241" s="34"/>
      <c r="Y241" s="35"/>
      <c r="Z241" s="35"/>
      <c r="AA241" s="35"/>
      <c r="AB241" s="36"/>
      <c r="AC241" s="36"/>
      <c r="AD241" s="26"/>
    </row>
    <row r="242" spans="1:30" ht="43.2" hidden="1" outlineLevel="2" x14ac:dyDescent="0.3">
      <c r="A242" s="93" t="s">
        <v>0</v>
      </c>
      <c r="B242" s="21"/>
      <c r="C242" s="85"/>
      <c r="D242" s="85"/>
      <c r="E242" s="85"/>
      <c r="F242" s="86"/>
      <c r="G242" s="22" t="s">
        <v>23</v>
      </c>
      <c r="H242" s="22" t="s">
        <v>23</v>
      </c>
      <c r="I242" s="23" t="s">
        <v>23</v>
      </c>
      <c r="J242" s="22" t="s">
        <v>23</v>
      </c>
      <c r="K242" s="38"/>
      <c r="L242" s="22"/>
      <c r="M242" s="286" t="str">
        <f ca="1">IFERROR(OFFSET(M242,-1,,1,1)+0.1,OFFSET(M242,-1,-1,1,1)&amp;".1")</f>
        <v>4.1</v>
      </c>
      <c r="N242" s="23" t="s">
        <v>514</v>
      </c>
      <c r="O242" s="23"/>
      <c r="P242" s="23"/>
      <c r="Q242" s="144">
        <v>2</v>
      </c>
      <c r="R242" s="137">
        <v>4</v>
      </c>
      <c r="S242" s="169">
        <f>CEILING((IF(J242="Yes", 0, IF(H242="-",AA242,AA242+AA242*VLOOKUP(H242,BUFFERS_BY_TYPE,2,FALSE)))) +
   (IF(J242="Yes", 0, IF(H242="-",AA242,AA242+AA242*VLOOKUP(H242,BUFFERS_BY_TYPE,2,FALSE))))*VLOOKUP($S$5, SALES_CALL_SCALE_ARRAY, 2,FALSE),0.25)</f>
        <v>16</v>
      </c>
      <c r="T242" s="170"/>
      <c r="U242" s="24">
        <v>0</v>
      </c>
      <c r="V242" s="24">
        <v>1</v>
      </c>
      <c r="W242" s="24">
        <v>0</v>
      </c>
      <c r="X242" s="168">
        <v>2</v>
      </c>
      <c r="Y242" s="169">
        <f>CEILING((IF(P242=AS_DEV_EFFORT, DEV_EFFORT*Q242%,
                           IF(P242=AS_DURATION_EFFORT, (MANUAL_DURATION*5)*Q242%,
                                    (IF(Q242&lt;=1,X242,
                                          IF(SUM(U242:W242)=0,(Q242*X242),
                                               (((Q242*U242)*(X242+(X242*EXTRA_FOR_H)))+
                                               ((Q242*V242)*X242)+
                                               ((Q242*W242)*(X242-(X242*LESS_FOR_L)))
                                    )*IF(R242=0,1,R242))))))+Z242), 0.25)</f>
        <v>16</v>
      </c>
      <c r="Z242" s="25"/>
      <c r="AA242" s="169">
        <f>Y242+Y242*VLOOKUP(I242,EXTRAS_ARRAY,2,FALSE)</f>
        <v>16</v>
      </c>
      <c r="AB242" s="23"/>
      <c r="AC242" s="37"/>
      <c r="AD242" s="26" t="str">
        <f>IF(J242&lt;&gt;"Yes",
IF(S242&lt;=0,"Error: Effort value is not defined or is invalid.",
IF(AND(SUM(U242:W242)&gt;0,SUM(U242:W242)&lt;&gt;1),"Error: Complexity % distribution should sum to 100%.",
IF(AND(P242=AS_DEV_EFFORT,X242&lt;&gt;0),"Error: PDs should not be defined when defining as dev effort %.",
IF(AND(P242=AS_DURATION_EFFORT,X242&lt;&gt;0),"Error: PDs should not be defined when defining as duration effort %.","")))))</f>
        <v/>
      </c>
    </row>
    <row r="243" spans="1:30" ht="43.2" hidden="1" outlineLevel="2" x14ac:dyDescent="0.3">
      <c r="A243" s="93" t="s">
        <v>0</v>
      </c>
      <c r="B243" s="21"/>
      <c r="C243" s="85"/>
      <c r="D243" s="85"/>
      <c r="E243" s="85"/>
      <c r="F243" s="86"/>
      <c r="G243" s="22" t="s">
        <v>23</v>
      </c>
      <c r="H243" s="22" t="s">
        <v>23</v>
      </c>
      <c r="I243" s="23" t="s">
        <v>23</v>
      </c>
      <c r="J243" s="22" t="s">
        <v>23</v>
      </c>
      <c r="K243" s="38"/>
      <c r="L243" s="22"/>
      <c r="M243" s="286">
        <f ca="1">IFERROR(OFFSET(M243,-1,,1,1)+0.1,OFFSET(M243,-1,-1,1,1)&amp;".1")</f>
        <v>4.1999999999999993</v>
      </c>
      <c r="N243" s="23" t="s">
        <v>515</v>
      </c>
      <c r="O243" s="23"/>
      <c r="P243" s="23"/>
      <c r="Q243" s="144">
        <v>1</v>
      </c>
      <c r="R243" s="137"/>
      <c r="S243" s="169">
        <f>CEILING((IF(J243="Yes", 0, IF(H243="-",AA243,AA243+AA243*VLOOKUP(H243,BUFFERS_BY_TYPE,2,FALSE)))) +
   (IF(J243="Yes", 0, IF(H243="-",AA243,AA243+AA243*VLOOKUP(H243,BUFFERS_BY_TYPE,2,FALSE))))*VLOOKUP($S$5, SALES_CALL_SCALE_ARRAY, 2,FALSE),0.25)</f>
        <v>1</v>
      </c>
      <c r="T243" s="170"/>
      <c r="U243" s="24">
        <v>0</v>
      </c>
      <c r="V243" s="24">
        <v>1</v>
      </c>
      <c r="W243" s="24">
        <v>0</v>
      </c>
      <c r="X243" s="168">
        <v>1</v>
      </c>
      <c r="Y243" s="169">
        <f>CEILING((IF(P243=AS_DEV_EFFORT, DEV_EFFORT*Q243%,
                           IF(P243=AS_DURATION_EFFORT, (MANUAL_DURATION*5)*Q243%,
                                    (IF(Q243&lt;=1,X243,
                                          IF(SUM(U243:W243)=0,(Q243*X243),
                                               (((Q243*U243)*(X243+(X243*EXTRA_FOR_H)))+
                                               ((Q243*V243)*X243)+
                                               ((Q243*W243)*(X243-(X243*LESS_FOR_L)))
                                    )*IF(R243=0,1,R243))))))+Z243), 0.25)</f>
        <v>1</v>
      </c>
      <c r="Z243" s="25"/>
      <c r="AA243" s="169">
        <f>Y243+Y243*VLOOKUP(I243,EXTRAS_ARRAY,2,FALSE)</f>
        <v>1</v>
      </c>
      <c r="AB243" s="23"/>
      <c r="AC243" s="37"/>
      <c r="AD243" s="26" t="str">
        <f>IF(J243&lt;&gt;"Yes",
IF(S243&lt;=0,"Error: Effort value is not defined or is invalid.",
IF(AND(SUM(U243:W243)&gt;0,SUM(U243:W243)&lt;&gt;1),"Error: Complexity % distribution should sum to 100%.",
IF(AND(P243=AS_DEV_EFFORT,X243&lt;&gt;0),"Error: PDs should not be defined when defining as dev effort %.",
IF(AND(P243=AS_DURATION_EFFORT,X243&lt;&gt;0),"Error: PDs should not be defined when defining as duration effort %.","")))))</f>
        <v/>
      </c>
    </row>
    <row r="244" spans="1:30" ht="43.2" hidden="1" outlineLevel="2" x14ac:dyDescent="0.3">
      <c r="A244" s="93" t="s">
        <v>0</v>
      </c>
      <c r="B244" s="21"/>
      <c r="C244" s="85"/>
      <c r="D244" s="85"/>
      <c r="E244" s="85"/>
      <c r="F244" s="86"/>
      <c r="G244" s="22" t="s">
        <v>23</v>
      </c>
      <c r="H244" s="22" t="s">
        <v>23</v>
      </c>
      <c r="I244" s="23" t="s">
        <v>23</v>
      </c>
      <c r="J244" s="22" t="s">
        <v>23</v>
      </c>
      <c r="K244" s="38"/>
      <c r="L244" s="22"/>
      <c r="M244" s="286">
        <f ca="1">IFERROR(OFFSET(M244,-1,,1,1)+0.1,OFFSET(M244,-1,-1,1,1)&amp;".1")</f>
        <v>4.2999999999999989</v>
      </c>
      <c r="N244" s="23" t="s">
        <v>516</v>
      </c>
      <c r="O244" s="23"/>
      <c r="P244" s="23"/>
      <c r="Q244" s="144">
        <v>1</v>
      </c>
      <c r="R244" s="137"/>
      <c r="S244" s="169">
        <f>CEILING((IF(J244="Yes", 0, IF(H244="-",AA244,AA244+AA244*VLOOKUP(H244,BUFFERS_BY_TYPE,2,FALSE)))) +
   (IF(J244="Yes", 0, IF(H244="-",AA244,AA244+AA244*VLOOKUP(H244,BUFFERS_BY_TYPE,2,FALSE))))*VLOOKUP($S$5, SALES_CALL_SCALE_ARRAY, 2,FALSE),0.25)</f>
        <v>5</v>
      </c>
      <c r="T244" s="170"/>
      <c r="U244" s="24">
        <v>0</v>
      </c>
      <c r="V244" s="24">
        <v>1</v>
      </c>
      <c r="W244" s="24">
        <v>0</v>
      </c>
      <c r="X244" s="168">
        <v>5</v>
      </c>
      <c r="Y244" s="169">
        <f>CEILING((IF(P244=AS_DEV_EFFORT, DEV_EFFORT*Q244%,
                           IF(P244=AS_DURATION_EFFORT, (MANUAL_DURATION*5)*Q244%,
                                    (IF(Q244&lt;=1,X244,
                                          IF(SUM(U244:W244)=0,(Q244*X244),
                                               (((Q244*U244)*(X244+(X244*EXTRA_FOR_H)))+
                                               ((Q244*V244)*X244)+
                                               ((Q244*W244)*(X244-(X244*LESS_FOR_L)))
                                    )*IF(R244=0,1,R244))))))+Z244), 0.25)</f>
        <v>5</v>
      </c>
      <c r="Z244" s="25"/>
      <c r="AA244" s="169">
        <f>Y244+Y244*VLOOKUP(I244,EXTRAS_ARRAY,2,FALSE)</f>
        <v>5</v>
      </c>
      <c r="AB244" s="23"/>
      <c r="AC244" s="37"/>
      <c r="AD244" s="26" t="str">
        <f>IF(J244&lt;&gt;"Yes",
IF(S244&lt;=0,"Error: Effort value is not defined or is invalid.",
IF(AND(SUM(U244:W244)&gt;0,SUM(U244:W244)&lt;&gt;1),"Error: Complexity % distribution should sum to 100%.",
IF(AND(P244=AS_DEV_EFFORT,X244&lt;&gt;0),"Error: PDs should not be defined when defining as dev effort %.",
IF(AND(P244=AS_DURATION_EFFORT,X244&lt;&gt;0),"Error: PDs should not be defined when defining as duration effort %.","")))))</f>
        <v/>
      </c>
    </row>
    <row r="245" spans="1:30" ht="43.2" hidden="1" outlineLevel="2" x14ac:dyDescent="0.3">
      <c r="A245" s="93" t="s">
        <v>0</v>
      </c>
      <c r="B245" s="21"/>
      <c r="C245" s="85"/>
      <c r="D245" s="85"/>
      <c r="E245" s="85"/>
      <c r="F245" s="86"/>
      <c r="G245" s="22" t="s">
        <v>23</v>
      </c>
      <c r="H245" s="22" t="s">
        <v>23</v>
      </c>
      <c r="I245" s="23" t="s">
        <v>23</v>
      </c>
      <c r="J245" s="22" t="s">
        <v>23</v>
      </c>
      <c r="K245" s="38"/>
      <c r="L245" s="22"/>
      <c r="M245" s="286">
        <f ca="1">IFERROR(OFFSET(M245,-1,,1,1)+0.1,OFFSET(M245,-1,-1,1,1)&amp;".1")</f>
        <v>4.3999999999999986</v>
      </c>
      <c r="N245" s="23" t="s">
        <v>517</v>
      </c>
      <c r="O245" s="23"/>
      <c r="P245" s="23"/>
      <c r="Q245" s="144">
        <v>1</v>
      </c>
      <c r="R245" s="137"/>
      <c r="S245" s="169">
        <f>CEILING((IF(J245="Yes", 0, IF(H245="-",AA245,AA245+AA245*VLOOKUP(H245,BUFFERS_BY_TYPE,2,FALSE)))) +
   (IF(J245="Yes", 0, IF(H245="-",AA245,AA245+AA245*VLOOKUP(H245,BUFFERS_BY_TYPE,2,FALSE))))*VLOOKUP($S$5, SALES_CALL_SCALE_ARRAY, 2,FALSE),0.25)</f>
        <v>1</v>
      </c>
      <c r="T245" s="170"/>
      <c r="U245" s="24">
        <v>0</v>
      </c>
      <c r="V245" s="24">
        <v>1</v>
      </c>
      <c r="W245" s="24">
        <v>0</v>
      </c>
      <c r="X245" s="168">
        <v>1</v>
      </c>
      <c r="Y245" s="169">
        <f>CEILING((IF(P245=AS_DEV_EFFORT, DEV_EFFORT*Q245%,
                           IF(P245=AS_DURATION_EFFORT, (MANUAL_DURATION*5)*Q245%,
                                    (IF(Q245&lt;=1,X245,
                                          IF(SUM(U245:W245)=0,(Q245*X245),
                                               (((Q245*U245)*(X245+(X245*EXTRA_FOR_H)))+
                                               ((Q245*V245)*X245)+
                                               ((Q245*W245)*(X245-(X245*LESS_FOR_L)))
                                    )*IF(R245=0,1,R245))))))+Z245), 0.25)</f>
        <v>1</v>
      </c>
      <c r="Z245" s="25"/>
      <c r="AA245" s="169">
        <f>Y245+Y245*VLOOKUP(I245,EXTRAS_ARRAY,2,FALSE)</f>
        <v>1</v>
      </c>
      <c r="AB245" s="23"/>
      <c r="AC245" s="37"/>
      <c r="AD245" s="26" t="str">
        <f>IF(J245&lt;&gt;"Yes",
IF(S245&lt;=0,"Error: Effort value is not defined or is invalid.",
IF(AND(SUM(U245:W245)&gt;0,SUM(U245:W245)&lt;&gt;1),"Error: Complexity % distribution should sum to 100%.",
IF(AND(P245=AS_DEV_EFFORT,X245&lt;&gt;0),"Error: PDs should not be defined when defining as dev effort %.",
IF(AND(P245=AS_DURATION_EFFORT,X245&lt;&gt;0),"Error: PDs should not be defined when defining as duration effort %.","")))))</f>
        <v/>
      </c>
    </row>
    <row r="246" spans="1:30" s="11" customFormat="1" ht="7.5" hidden="1" customHeight="1" outlineLevel="2" x14ac:dyDescent="0.3">
      <c r="A246" s="93" t="s">
        <v>132</v>
      </c>
      <c r="B246" s="18"/>
      <c r="C246" s="78"/>
      <c r="D246" s="78"/>
      <c r="E246" s="78"/>
      <c r="F246" s="78"/>
      <c r="G246" s="10"/>
      <c r="H246" s="10"/>
      <c r="I246" s="10"/>
      <c r="J246" s="10"/>
      <c r="K246" s="10"/>
      <c r="L246" s="10"/>
      <c r="M246" s="287"/>
      <c r="N246" s="10"/>
      <c r="O246" s="10"/>
      <c r="P246" s="10"/>
      <c r="Q246" s="10"/>
      <c r="R246" s="10"/>
      <c r="S246" s="10"/>
      <c r="T246" s="18"/>
      <c r="U246" s="10"/>
      <c r="V246" s="10"/>
      <c r="W246" s="10"/>
      <c r="X246" s="18"/>
      <c r="Y246" s="10"/>
      <c r="Z246" s="10"/>
      <c r="AA246" s="10"/>
      <c r="AB246" s="60"/>
      <c r="AC246" s="60"/>
      <c r="AD246" s="12"/>
    </row>
    <row r="247" spans="1:30" s="11" customFormat="1" ht="3" hidden="1" customHeight="1" outlineLevel="1" x14ac:dyDescent="0.3">
      <c r="A247" s="93" t="s">
        <v>102</v>
      </c>
      <c r="B247" s="10"/>
      <c r="C247" s="78"/>
      <c r="D247" s="78"/>
      <c r="E247" s="78"/>
      <c r="F247" s="78"/>
      <c r="G247" s="59"/>
      <c r="H247" s="59"/>
      <c r="I247" s="59"/>
      <c r="J247" s="59"/>
      <c r="K247" s="59"/>
      <c r="L247" s="61"/>
      <c r="M247" s="288"/>
      <c r="N247" s="62"/>
      <c r="O247" s="62"/>
      <c r="P247" s="61"/>
      <c r="Q247" s="61"/>
      <c r="R247" s="61"/>
      <c r="S247" s="61"/>
      <c r="T247" s="61"/>
      <c r="U247" s="61"/>
      <c r="V247" s="61"/>
      <c r="W247" s="61"/>
      <c r="X247" s="61"/>
      <c r="Y247" s="61"/>
      <c r="Z247" s="61"/>
      <c r="AA247" s="61"/>
      <c r="AB247" s="62"/>
      <c r="AC247" s="62"/>
      <c r="AD247" s="12"/>
    </row>
    <row r="248" spans="1:30" s="17" customFormat="1" ht="18" x14ac:dyDescent="0.3">
      <c r="A248" s="93" t="s">
        <v>98</v>
      </c>
      <c r="B248" s="14"/>
      <c r="C248" s="79"/>
      <c r="D248" s="79"/>
      <c r="E248" s="79"/>
      <c r="F248" s="78"/>
      <c r="G248" s="55"/>
      <c r="H248" s="55"/>
      <c r="I248" s="55"/>
      <c r="J248" s="55"/>
      <c r="K248" s="55"/>
      <c r="L248" s="55" t="s">
        <v>83</v>
      </c>
      <c r="M248" s="284" t="s">
        <v>76</v>
      </c>
      <c r="N248" s="56"/>
      <c r="O248" s="57"/>
      <c r="P248" s="58"/>
      <c r="Q248" s="58"/>
      <c r="R248" s="58"/>
      <c r="S248" s="333">
        <f>CEILING(SUMIF(J249:J254, "&lt;&gt;Yes", T249:T254),1)</f>
        <v>100</v>
      </c>
      <c r="T248" s="333"/>
      <c r="U248" s="58"/>
      <c r="V248" s="58"/>
      <c r="W248" s="58"/>
      <c r="X248" s="58"/>
      <c r="Y248" s="58"/>
      <c r="Z248" s="58"/>
      <c r="AA248" s="58"/>
      <c r="AB248" s="58"/>
      <c r="AC248" s="58"/>
      <c r="AD248" s="16"/>
    </row>
    <row r="249" spans="1:30" s="11" customFormat="1" ht="3" customHeight="1" outlineLevel="1" x14ac:dyDescent="0.3">
      <c r="A249" s="93" t="s">
        <v>99</v>
      </c>
      <c r="B249" s="18"/>
      <c r="C249" s="78"/>
      <c r="D249" s="78"/>
      <c r="E249" s="78"/>
      <c r="F249" s="78"/>
      <c r="G249" s="28"/>
      <c r="H249" s="28"/>
      <c r="I249" s="28"/>
      <c r="J249" s="28"/>
      <c r="K249" s="28"/>
      <c r="L249" s="29">
        <v>0</v>
      </c>
      <c r="M249" s="285"/>
      <c r="N249" s="28"/>
      <c r="O249" s="28"/>
      <c r="P249" s="28"/>
      <c r="Q249" s="28"/>
      <c r="R249" s="28"/>
      <c r="S249" s="28"/>
      <c r="T249" s="30"/>
      <c r="U249" s="28"/>
      <c r="V249" s="28"/>
      <c r="W249" s="28"/>
      <c r="X249" s="30"/>
      <c r="Y249" s="28"/>
      <c r="Z249" s="28"/>
      <c r="AA249" s="28"/>
      <c r="AB249" s="31"/>
      <c r="AC249" s="31"/>
      <c r="AD249" s="12"/>
    </row>
    <row r="250" spans="1:30" s="17" customFormat="1" ht="15.6" outlineLevel="1" x14ac:dyDescent="0.3">
      <c r="A250" s="93" t="s">
        <v>100</v>
      </c>
      <c r="B250" s="21"/>
      <c r="C250" s="84"/>
      <c r="D250" s="84"/>
      <c r="E250" s="84"/>
      <c r="F250" s="83"/>
      <c r="G250" s="32"/>
      <c r="H250" s="32"/>
      <c r="I250" s="32"/>
      <c r="J250" s="32"/>
      <c r="K250" s="32"/>
      <c r="L250" s="20">
        <f ca="1">LOOKUP(1000,INDIRECT("L1:"&amp;CELL("address",INDIRECT("R[-1]C",FALSE))))+1</f>
        <v>1</v>
      </c>
      <c r="M250" s="301" t="s">
        <v>526</v>
      </c>
      <c r="N250" s="301"/>
      <c r="O250" s="5"/>
      <c r="P250" s="33"/>
      <c r="Q250" s="33"/>
      <c r="R250" s="33"/>
      <c r="S250" s="33"/>
      <c r="T250" s="167">
        <f>IF($S$6="Exclude", SUMIFS(S251:S253, J251:J253, "&lt;&gt;Yes", G251:G253, "&lt;&gt;Yes"), SUMIFS(S251:S253, J251:J253, "&lt;&gt;Yes"))</f>
        <v>100</v>
      </c>
      <c r="U250" s="33"/>
      <c r="V250" s="33"/>
      <c r="W250" s="33"/>
      <c r="X250" s="34"/>
      <c r="Y250" s="35"/>
      <c r="Z250" s="35"/>
      <c r="AA250" s="35"/>
      <c r="AB250" s="240"/>
      <c r="AC250" s="36"/>
      <c r="AD250" s="26" t="str">
        <f>IF(M250="", "Error: Task name cannot be empty.", "")</f>
        <v/>
      </c>
    </row>
    <row r="251" spans="1:30" s="15" customFormat="1" ht="1.5" customHeight="1" outlineLevel="2" x14ac:dyDescent="0.3">
      <c r="A251" s="93" t="s">
        <v>101</v>
      </c>
      <c r="B251" s="21"/>
      <c r="C251" s="84"/>
      <c r="D251" s="84"/>
      <c r="E251" s="84"/>
      <c r="F251" s="83"/>
      <c r="G251" s="32"/>
      <c r="H251" s="32"/>
      <c r="I251" s="32"/>
      <c r="J251" s="32"/>
      <c r="K251" s="32"/>
      <c r="L251" s="175">
        <f ca="1">L250</f>
        <v>1</v>
      </c>
      <c r="M251" s="176" t="s">
        <v>105</v>
      </c>
      <c r="N251" s="173"/>
      <c r="O251" s="174"/>
      <c r="P251" s="33"/>
      <c r="Q251" s="33"/>
      <c r="R251" s="33"/>
      <c r="S251" s="33"/>
      <c r="T251" s="167"/>
      <c r="U251" s="33"/>
      <c r="V251" s="33"/>
      <c r="W251" s="33"/>
      <c r="X251" s="34"/>
      <c r="Y251" s="35"/>
      <c r="Z251" s="35"/>
      <c r="AA251" s="35"/>
      <c r="AB251" s="36"/>
      <c r="AC251" s="36"/>
      <c r="AD251" s="26"/>
    </row>
    <row r="252" spans="1:30" ht="15.6" outlineLevel="2" x14ac:dyDescent="0.3">
      <c r="A252" s="93" t="s">
        <v>0</v>
      </c>
      <c r="B252" s="21"/>
      <c r="C252" s="85"/>
      <c r="D252" s="85"/>
      <c r="E252" s="85"/>
      <c r="F252" s="86"/>
      <c r="G252" s="22" t="s">
        <v>23</v>
      </c>
      <c r="H252" s="22" t="s">
        <v>23</v>
      </c>
      <c r="I252" s="23" t="s">
        <v>23</v>
      </c>
      <c r="J252" s="22" t="s">
        <v>23</v>
      </c>
      <c r="K252" s="38"/>
      <c r="L252" s="22"/>
      <c r="M252" s="286" t="str">
        <f ca="1">IFERROR(OFFSET(M252,-1,,1,1)+0.1,OFFSET(M252,-1,-1,1,1)&amp;".1")</f>
        <v>1.1</v>
      </c>
      <c r="N252" s="23" t="s">
        <v>527</v>
      </c>
      <c r="O252" s="23" t="s">
        <v>528</v>
      </c>
      <c r="P252" s="274">
        <v>0.1</v>
      </c>
      <c r="Q252" s="144"/>
      <c r="R252" s="137"/>
      <c r="S252" s="169">
        <f>CEILING((IF(J252="Yes", 0, IF(H252="-",AA252,AA252+AA252*VLOOKUP(H252,BUFFERS_BY_TYPE,2,FALSE)))) +
   (IF(J252="Yes", 0, IF(H252="-",AA252,AA252+AA252*VLOOKUP(H252,BUFFERS_BY_TYPE,2,FALSE))))*VLOOKUP($S$5, SALES_CALL_SCALE_ARRAY, 2,FALSE),0.25)</f>
        <v>100</v>
      </c>
      <c r="T252" s="170"/>
      <c r="U252" s="24">
        <v>0</v>
      </c>
      <c r="V252" s="24">
        <v>1</v>
      </c>
      <c r="W252" s="24">
        <v>0</v>
      </c>
      <c r="X252" s="168">
        <v>100</v>
      </c>
      <c r="Y252" s="169">
        <f>CEILING((IF(P252=AS_DEV_EFFORT, DEV_EFFORT*Q252%,
                           IF(P252=AS_DURATION_EFFORT, (MANUAL_DURATION*5)*Q252%,
                                    (IF(Q252&lt;=1,X252,
                                          IF(SUM(U252:W252)=0,(Q252*X252),
                                               (((Q252*U252)*(X252+(X252*EXTRA_FOR_H)))+
                                               ((Q252*V252)*X252)+
                                               ((Q252*W252)*(X252-(X252*LESS_FOR_L)))
                                    )*IF(R252=0,1,R252))))))+Z252), 0.25)</f>
        <v>100</v>
      </c>
      <c r="Z252" s="25"/>
      <c r="AA252" s="169">
        <f>Y252+Y252*VLOOKUP(I252,EXTRAS_ARRAY,2,FALSE)</f>
        <v>100</v>
      </c>
      <c r="AB252" s="23"/>
      <c r="AC252" s="37"/>
      <c r="AD252" s="26" t="str">
        <f>IF(J252&lt;&gt;"Yes",
IF(S252&lt;=0,"Error: Effort value is not defined or is invalid.",
IF(AND(SUM(U252:W252)&gt;0,SUM(U252:W252)&lt;&gt;1),"Error: Complexity % distribution should sum to 100%.",
IF(AND(P252=AS_DEV_EFFORT,X252&lt;&gt;0),"Error: PDs should not be defined when defining as dev effort %.",
IF(AND(P252=AS_DURATION_EFFORT,X252&lt;&gt;0),"Error: PDs should not be defined when defining as duration effort %.","")))))</f>
        <v/>
      </c>
    </row>
    <row r="253" spans="1:30" s="11" customFormat="1" ht="7.5" customHeight="1" outlineLevel="2" x14ac:dyDescent="0.3">
      <c r="A253" s="93" t="s">
        <v>132</v>
      </c>
      <c r="B253" s="18"/>
      <c r="C253" s="78"/>
      <c r="D253" s="78"/>
      <c r="E253" s="78"/>
      <c r="F253" s="78"/>
      <c r="G253" s="10"/>
      <c r="H253" s="10"/>
      <c r="I253" s="10"/>
      <c r="J253" s="10"/>
      <c r="K253" s="10"/>
      <c r="L253" s="10"/>
      <c r="M253" s="287"/>
      <c r="N253" s="10"/>
      <c r="O253" s="10"/>
      <c r="P253" s="10"/>
      <c r="Q253" s="10"/>
      <c r="R253" s="10"/>
      <c r="S253" s="10"/>
      <c r="T253" s="18"/>
      <c r="U253" s="10"/>
      <c r="V253" s="10"/>
      <c r="W253" s="10"/>
      <c r="X253" s="18"/>
      <c r="Y253" s="10"/>
      <c r="Z253" s="10"/>
      <c r="AA253" s="10"/>
      <c r="AB253" s="60"/>
      <c r="AC253" s="60"/>
      <c r="AD253" s="12"/>
    </row>
    <row r="254" spans="1:30" s="11" customFormat="1" ht="3" customHeight="1" outlineLevel="1" x14ac:dyDescent="0.3">
      <c r="A254" s="93" t="s">
        <v>102</v>
      </c>
      <c r="B254" s="10"/>
      <c r="C254" s="78"/>
      <c r="D254" s="78"/>
      <c r="E254" s="78"/>
      <c r="F254" s="78"/>
      <c r="G254" s="59"/>
      <c r="H254" s="59"/>
      <c r="I254" s="59"/>
      <c r="J254" s="59"/>
      <c r="K254" s="59"/>
      <c r="L254" s="61"/>
      <c r="M254" s="288"/>
      <c r="N254" s="62"/>
      <c r="O254" s="62"/>
      <c r="P254" s="61"/>
      <c r="Q254" s="61"/>
      <c r="R254" s="61"/>
      <c r="S254" s="61"/>
      <c r="T254" s="61"/>
      <c r="U254" s="61"/>
      <c r="V254" s="61"/>
      <c r="W254" s="61"/>
      <c r="X254" s="61"/>
      <c r="Y254" s="61"/>
      <c r="Z254" s="61"/>
      <c r="AA254" s="61"/>
      <c r="AB254" s="62"/>
      <c r="AC254" s="62"/>
      <c r="AD254" s="12"/>
    </row>
    <row r="255" spans="1:30" s="11" customFormat="1" ht="20.25" customHeight="1" x14ac:dyDescent="0.3">
      <c r="A255" s="93" t="s">
        <v>103</v>
      </c>
      <c r="B255" s="10"/>
      <c r="C255" s="78"/>
      <c r="D255" s="78"/>
      <c r="E255" s="78"/>
      <c r="F255" s="78"/>
      <c r="G255" s="43"/>
      <c r="H255" s="43"/>
      <c r="I255" s="43"/>
      <c r="J255" s="43"/>
      <c r="K255" s="43"/>
      <c r="L255" s="146"/>
      <c r="M255" s="281"/>
      <c r="N255" s="43"/>
      <c r="O255" s="43"/>
      <c r="P255" s="43"/>
      <c r="Q255" s="43"/>
      <c r="R255" s="43"/>
      <c r="S255" s="334">
        <f>TOTAL_EFFORT</f>
        <v>1693</v>
      </c>
      <c r="T255" s="334"/>
      <c r="U255" s="43"/>
      <c r="V255" s="43"/>
      <c r="W255" s="43"/>
      <c r="X255" s="43"/>
      <c r="Y255" s="43"/>
      <c r="Z255" s="43"/>
      <c r="AA255" s="43"/>
      <c r="AB255" s="145"/>
      <c r="AC255" s="43"/>
      <c r="AD255" s="12"/>
    </row>
    <row r="256" spans="1:30" s="11" customFormat="1" x14ac:dyDescent="0.3">
      <c r="A256" s="93"/>
      <c r="B256" s="10"/>
      <c r="C256" s="80"/>
      <c r="D256" s="80"/>
      <c r="E256" s="80"/>
      <c r="F256" s="78"/>
      <c r="M256" s="275"/>
      <c r="N256" s="12"/>
      <c r="O256" s="12"/>
      <c r="AB256" s="12"/>
      <c r="AC256" s="12"/>
      <c r="AD256" s="12"/>
    </row>
    <row r="257" spans="1:30" s="11" customFormat="1" ht="20.25" customHeight="1" x14ac:dyDescent="0.3">
      <c r="A257" s="93"/>
      <c r="B257" s="10"/>
      <c r="C257" s="78"/>
      <c r="D257" s="78"/>
      <c r="E257" s="78"/>
      <c r="F257" s="78"/>
      <c r="G257" s="305" t="s">
        <v>48</v>
      </c>
      <c r="H257" s="305"/>
      <c r="I257" s="200"/>
      <c r="J257" s="43"/>
      <c r="K257" s="43"/>
      <c r="L257" s="39"/>
      <c r="M257" s="289" t="s">
        <v>154</v>
      </c>
      <c r="N257" s="39"/>
      <c r="O257" s="39"/>
      <c r="P257" s="39"/>
      <c r="Q257" s="39"/>
      <c r="R257" s="39"/>
      <c r="S257" s="39"/>
      <c r="T257" s="39"/>
      <c r="U257" s="39"/>
      <c r="V257" s="39"/>
      <c r="W257" s="39"/>
      <c r="X257" s="39"/>
      <c r="Y257" s="39"/>
      <c r="Z257" s="39"/>
      <c r="AA257" s="39"/>
      <c r="AB257" s="39"/>
      <c r="AC257" s="39"/>
      <c r="AD257" s="12"/>
    </row>
    <row r="258" spans="1:30" s="11" customFormat="1" outlineLevel="1" x14ac:dyDescent="0.3">
      <c r="A258" s="93"/>
      <c r="B258" s="10"/>
      <c r="C258" s="80"/>
      <c r="D258" s="80"/>
      <c r="E258" s="80"/>
      <c r="F258" s="78"/>
      <c r="G258" s="28"/>
      <c r="H258" s="28"/>
      <c r="I258" s="28"/>
      <c r="J258" s="28"/>
      <c r="K258" s="28"/>
      <c r="L258" s="28"/>
      <c r="M258" s="285"/>
      <c r="N258" s="31"/>
      <c r="O258" s="31"/>
      <c r="P258" s="28"/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8"/>
      <c r="AB258" s="31"/>
      <c r="AC258" s="31"/>
      <c r="AD258" s="12"/>
    </row>
    <row r="259" spans="1:30" s="11" customFormat="1" ht="15" customHeight="1" outlineLevel="1" x14ac:dyDescent="0.3">
      <c r="A259" s="93"/>
      <c r="B259" s="10"/>
      <c r="C259" s="80"/>
      <c r="D259" s="80"/>
      <c r="E259" s="80"/>
      <c r="F259" s="78"/>
      <c r="G259" s="28"/>
      <c r="H259" s="28"/>
      <c r="I259" s="28"/>
      <c r="J259" s="28"/>
      <c r="K259" s="28"/>
      <c r="L259" s="28"/>
      <c r="M259" s="314" t="s">
        <v>451</v>
      </c>
      <c r="N259" s="314"/>
      <c r="O259" s="314"/>
      <c r="P259" s="314"/>
      <c r="Q259" s="314"/>
      <c r="R259" s="314"/>
      <c r="S259" s="314"/>
      <c r="T259" s="314"/>
      <c r="U259" s="31"/>
      <c r="V259" s="31"/>
      <c r="W259" s="31"/>
      <c r="X259" s="28"/>
      <c r="Y259" s="28"/>
      <c r="Z259" s="28"/>
      <c r="AA259" s="28"/>
      <c r="AB259" s="31"/>
      <c r="AC259" s="31"/>
      <c r="AD259" s="12"/>
    </row>
    <row r="260" spans="1:30" s="11" customFormat="1" outlineLevel="1" x14ac:dyDescent="0.3">
      <c r="A260" s="93"/>
      <c r="B260" s="10"/>
      <c r="C260" s="80"/>
      <c r="D260" s="80"/>
      <c r="E260" s="80"/>
      <c r="F260" s="78"/>
      <c r="G260" s="28"/>
      <c r="H260" s="28"/>
      <c r="I260" s="28"/>
      <c r="J260" s="28"/>
      <c r="K260" s="28"/>
      <c r="L260" s="28"/>
      <c r="M260" s="314"/>
      <c r="N260" s="314"/>
      <c r="O260" s="314"/>
      <c r="P260" s="314"/>
      <c r="Q260" s="314"/>
      <c r="R260" s="314"/>
      <c r="S260" s="314"/>
      <c r="T260" s="314"/>
      <c r="U260" s="31"/>
      <c r="V260" s="31"/>
      <c r="W260" s="31"/>
      <c r="X260" s="28"/>
      <c r="Y260" s="28"/>
      <c r="Z260" s="28"/>
      <c r="AA260" s="28"/>
      <c r="AB260" s="31"/>
      <c r="AC260" s="31"/>
      <c r="AD260" s="12"/>
    </row>
    <row r="261" spans="1:30" s="11" customFormat="1" ht="3.75" customHeight="1" outlineLevel="1" x14ac:dyDescent="0.3">
      <c r="A261" s="93"/>
      <c r="B261" s="10"/>
      <c r="C261" s="80"/>
      <c r="D261" s="80"/>
      <c r="E261" s="80"/>
      <c r="F261" s="78"/>
      <c r="G261" s="28"/>
      <c r="H261" s="28"/>
      <c r="I261" s="28"/>
      <c r="J261" s="28"/>
      <c r="K261" s="28"/>
      <c r="L261" s="28"/>
      <c r="M261" s="285"/>
      <c r="N261" s="31"/>
      <c r="O261" s="31"/>
      <c r="P261" s="28"/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8"/>
      <c r="AB261" s="31"/>
      <c r="AC261" s="31"/>
      <c r="AD261" s="12"/>
    </row>
    <row r="262" spans="1:30" s="11" customFormat="1" ht="15.6" outlineLevel="1" x14ac:dyDescent="0.3">
      <c r="A262" s="93"/>
      <c r="B262" s="10"/>
      <c r="C262" s="80"/>
      <c r="D262" s="80"/>
      <c r="E262" s="80"/>
      <c r="F262" s="78"/>
      <c r="G262" s="28"/>
      <c r="H262" s="28"/>
      <c r="I262" s="28"/>
      <c r="J262" s="28"/>
      <c r="K262" s="28"/>
      <c r="L262" s="28"/>
      <c r="M262" s="290" t="s">
        <v>153</v>
      </c>
      <c r="N262" s="203" t="s">
        <v>3</v>
      </c>
      <c r="O262" s="207" t="s">
        <v>59</v>
      </c>
      <c r="P262" s="206" t="str">
        <f>"Cost ("&amp;CHOSEN_CURRENCY&amp;")"</f>
        <v>Cost (-)</v>
      </c>
      <c r="Q262" s="28"/>
      <c r="R262" s="242" t="s">
        <v>441</v>
      </c>
      <c r="S262" s="63" t="s">
        <v>450</v>
      </c>
      <c r="T262" s="253" t="s">
        <v>452</v>
      </c>
      <c r="U262" s="241"/>
      <c r="V262" s="241"/>
      <c r="W262" s="28"/>
      <c r="X262" s="241"/>
      <c r="Y262" s="28"/>
      <c r="Z262" s="28"/>
      <c r="AA262" s="28"/>
      <c r="AB262" s="31"/>
      <c r="AC262" s="31"/>
      <c r="AD262" s="12"/>
    </row>
    <row r="263" spans="1:30" s="11" customFormat="1" ht="3" customHeight="1" outlineLevel="1" x14ac:dyDescent="0.3">
      <c r="A263" s="93"/>
      <c r="B263" s="10"/>
      <c r="C263" s="80"/>
      <c r="D263" s="80"/>
      <c r="E263" s="80"/>
      <c r="F263" s="78"/>
      <c r="G263" s="28"/>
      <c r="H263" s="28"/>
      <c r="I263" s="28"/>
      <c r="J263" s="28"/>
      <c r="K263" s="28"/>
      <c r="L263" s="28"/>
      <c r="M263" s="291"/>
      <c r="N263" s="268"/>
      <c r="O263" s="268"/>
      <c r="P263" s="267"/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8"/>
      <c r="AB263" s="31"/>
      <c r="AC263" s="31"/>
      <c r="AD263" s="12"/>
    </row>
    <row r="264" spans="1:30" s="11" customFormat="1" outlineLevel="1" x14ac:dyDescent="0.3">
      <c r="A264" s="93"/>
      <c r="B264" s="10"/>
      <c r="C264" s="80"/>
      <c r="D264" s="80"/>
      <c r="E264" s="80"/>
      <c r="F264" s="78"/>
      <c r="G264" s="28"/>
      <c r="H264" s="28"/>
      <c r="I264" s="28"/>
      <c r="J264" s="28"/>
      <c r="K264" s="28"/>
      <c r="L264" s="28"/>
      <c r="M264" s="285"/>
      <c r="N264" s="31"/>
      <c r="O264" s="31"/>
      <c r="P264" s="28"/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8"/>
      <c r="AB264" s="31"/>
      <c r="AC264" s="31"/>
      <c r="AD264" s="12"/>
    </row>
    <row r="265" spans="1:30" s="11" customFormat="1" outlineLevel="1" x14ac:dyDescent="0.3">
      <c r="A265" s="93"/>
      <c r="B265" s="10"/>
      <c r="C265" s="80"/>
      <c r="D265" s="80"/>
      <c r="E265" s="80"/>
      <c r="F265" s="78"/>
      <c r="G265" s="28"/>
      <c r="H265" s="28"/>
      <c r="I265" s="28"/>
      <c r="J265" s="28"/>
      <c r="K265" s="28"/>
      <c r="L265" s="28"/>
      <c r="M265" s="285"/>
      <c r="N265" s="31"/>
      <c r="O265" s="31"/>
      <c r="P265" s="28"/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8"/>
      <c r="AB265" s="31"/>
      <c r="AC265" s="31"/>
      <c r="AD265" s="12"/>
    </row>
    <row r="266" spans="1:30" s="11" customFormat="1" outlineLevel="1" x14ac:dyDescent="0.3">
      <c r="A266" s="93"/>
      <c r="B266" s="10"/>
      <c r="C266" s="80"/>
      <c r="D266" s="80"/>
      <c r="E266" s="80"/>
      <c r="F266" s="78"/>
      <c r="G266" s="28"/>
      <c r="H266" s="28"/>
      <c r="I266" s="28"/>
      <c r="J266" s="28"/>
      <c r="K266" s="28"/>
      <c r="L266" s="28"/>
      <c r="M266" s="285"/>
      <c r="N266" s="31"/>
      <c r="O266" s="31"/>
      <c r="P266" s="28"/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8"/>
      <c r="AB266" s="31"/>
      <c r="AC266" s="31"/>
      <c r="AD266" s="12"/>
    </row>
    <row r="267" spans="1:30" s="11" customFormat="1" outlineLevel="1" x14ac:dyDescent="0.3">
      <c r="A267" s="93"/>
      <c r="B267" s="10"/>
      <c r="C267" s="80"/>
      <c r="D267" s="80"/>
      <c r="E267" s="80"/>
      <c r="F267" s="78"/>
      <c r="G267" s="28"/>
      <c r="H267" s="28"/>
      <c r="I267" s="28"/>
      <c r="J267" s="28"/>
      <c r="K267" s="28"/>
      <c r="L267" s="28"/>
      <c r="M267" s="285"/>
      <c r="N267" s="31"/>
      <c r="O267" s="31"/>
      <c r="P267" s="28"/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8"/>
      <c r="AB267" s="31"/>
      <c r="AC267" s="31"/>
      <c r="AD267" s="12"/>
    </row>
    <row r="268" spans="1:30" s="11" customFormat="1" outlineLevel="1" x14ac:dyDescent="0.3">
      <c r="A268" s="93"/>
      <c r="B268" s="10"/>
      <c r="C268" s="80"/>
      <c r="D268" s="80"/>
      <c r="E268" s="80"/>
      <c r="F268" s="78"/>
      <c r="G268" s="28"/>
      <c r="H268" s="28"/>
      <c r="I268" s="28"/>
      <c r="J268" s="28"/>
      <c r="K268" s="28"/>
      <c r="L268" s="28"/>
      <c r="M268" s="285"/>
      <c r="N268" s="31"/>
      <c r="O268" s="31"/>
      <c r="P268" s="28"/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8"/>
      <c r="AB268" s="31"/>
      <c r="AC268" s="31"/>
      <c r="AD268" s="12"/>
    </row>
    <row r="269" spans="1:30" s="11" customFormat="1" ht="3" customHeight="1" outlineLevel="1" x14ac:dyDescent="0.3">
      <c r="A269" s="93"/>
      <c r="B269" s="10"/>
      <c r="C269" s="80"/>
      <c r="D269" s="80"/>
      <c r="E269" s="80"/>
      <c r="F269" s="78"/>
      <c r="G269" s="28"/>
      <c r="H269" s="28"/>
      <c r="I269" s="28"/>
      <c r="J269" s="28"/>
      <c r="K269" s="28"/>
      <c r="L269" s="28"/>
      <c r="M269" s="291"/>
      <c r="N269" s="268"/>
      <c r="O269" s="268"/>
      <c r="P269" s="267"/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8"/>
      <c r="AB269" s="31"/>
      <c r="AC269" s="31"/>
      <c r="AD269" s="12"/>
    </row>
    <row r="270" spans="1:30" s="11" customFormat="1" outlineLevel="1" x14ac:dyDescent="0.3">
      <c r="A270" s="93"/>
      <c r="B270" s="10"/>
      <c r="C270" s="80"/>
      <c r="D270" s="80"/>
      <c r="E270" s="80"/>
      <c r="F270" s="78"/>
      <c r="G270" s="28"/>
      <c r="H270" s="28"/>
      <c r="I270" s="28"/>
      <c r="J270" s="28"/>
      <c r="K270" s="28"/>
      <c r="L270" s="28"/>
      <c r="M270" s="292"/>
      <c r="N270" s="204"/>
      <c r="O270" s="205">
        <f>TOTAL_EFFORT</f>
        <v>1693</v>
      </c>
      <c r="P270" s="205">
        <f>TOTAL_COST</f>
        <v>379232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8"/>
      <c r="AB270" s="31"/>
      <c r="AC270" s="31"/>
      <c r="AD270" s="12"/>
    </row>
    <row r="271" spans="1:30" s="11" customFormat="1" outlineLevel="1" x14ac:dyDescent="0.3">
      <c r="A271" s="93"/>
      <c r="B271" s="10"/>
      <c r="C271" s="80"/>
      <c r="D271" s="80"/>
      <c r="E271" s="80"/>
      <c r="F271" s="78"/>
      <c r="G271" s="28"/>
      <c r="H271" s="28"/>
      <c r="I271" s="28"/>
      <c r="J271" s="28"/>
      <c r="K271" s="28"/>
      <c r="L271" s="28"/>
      <c r="M271" s="285"/>
      <c r="N271" s="31"/>
      <c r="O271" s="31"/>
      <c r="P271" s="28"/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8"/>
      <c r="AB271" s="31"/>
      <c r="AC271" s="31"/>
      <c r="AD271" s="12"/>
    </row>
    <row r="272" spans="1:30" s="11" customFormat="1" ht="20.25" customHeight="1" outlineLevel="1" x14ac:dyDescent="0.3">
      <c r="A272" s="93"/>
      <c r="B272" s="10"/>
      <c r="C272" s="78"/>
      <c r="D272" s="78"/>
      <c r="E272" s="78"/>
      <c r="F272" s="78"/>
      <c r="G272" s="43"/>
      <c r="H272" s="43"/>
      <c r="I272" s="43"/>
      <c r="J272" s="43"/>
      <c r="K272" s="43"/>
      <c r="L272" s="43"/>
      <c r="M272" s="281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12"/>
    </row>
    <row r="273" spans="1:30" ht="15" customHeight="1" x14ac:dyDescent="0.3">
      <c r="F273" s="78"/>
    </row>
    <row r="274" spans="1:30" s="11" customFormat="1" ht="20.25" customHeight="1" x14ac:dyDescent="0.3">
      <c r="A274" s="93"/>
      <c r="B274" s="10"/>
      <c r="C274" s="78"/>
      <c r="D274" s="78"/>
      <c r="E274" s="78"/>
      <c r="F274" s="78"/>
      <c r="G274" s="305" t="s">
        <v>48</v>
      </c>
      <c r="H274" s="305"/>
      <c r="I274" s="178"/>
      <c r="J274" s="43"/>
      <c r="K274" s="43"/>
      <c r="L274" s="39"/>
      <c r="M274" s="289" t="s">
        <v>111</v>
      </c>
      <c r="N274" s="39"/>
      <c r="O274" s="39"/>
      <c r="P274" s="39"/>
      <c r="Q274" s="39"/>
      <c r="R274" s="39"/>
      <c r="S274" s="39"/>
      <c r="T274" s="39"/>
      <c r="U274" s="39"/>
      <c r="V274" s="39"/>
      <c r="W274" s="39"/>
      <c r="X274" s="39"/>
      <c r="Y274" s="39"/>
      <c r="Z274" s="39"/>
      <c r="AA274" s="39"/>
      <c r="AB274" s="39"/>
      <c r="AC274" s="39"/>
      <c r="AD274" s="12"/>
    </row>
    <row r="275" spans="1:30" outlineLevel="1" x14ac:dyDescent="0.3">
      <c r="F275" s="78"/>
      <c r="G275" s="63"/>
      <c r="H275" s="63"/>
      <c r="I275" s="63"/>
      <c r="J275" s="63"/>
      <c r="K275" s="63"/>
      <c r="L275" s="63"/>
      <c r="M275" s="294"/>
      <c r="N275" s="64"/>
      <c r="O275" s="64"/>
      <c r="P275" s="63"/>
      <c r="Q275" s="63"/>
      <c r="R275" s="63"/>
      <c r="S275" s="63"/>
      <c r="T275" s="63"/>
      <c r="U275" s="63"/>
      <c r="V275" s="63"/>
      <c r="W275" s="63"/>
      <c r="X275" s="63"/>
      <c r="Y275" s="63"/>
      <c r="Z275" s="63"/>
      <c r="AA275" s="63"/>
      <c r="AB275" s="64"/>
      <c r="AC275" s="31"/>
    </row>
    <row r="276" spans="1:30" outlineLevel="1" x14ac:dyDescent="0.3">
      <c r="F276" s="78"/>
      <c r="G276" s="68">
        <v>1</v>
      </c>
      <c r="H276" s="68"/>
      <c r="I276" s="68"/>
      <c r="J276" s="63"/>
      <c r="K276" s="63"/>
      <c r="L276" s="63"/>
      <c r="M276" s="294"/>
      <c r="N276" s="64"/>
      <c r="O276" s="64"/>
      <c r="P276" s="63"/>
      <c r="Q276" s="328" t="s">
        <v>79</v>
      </c>
      <c r="R276" s="328"/>
      <c r="S276" s="328"/>
      <c r="T276" s="328"/>
      <c r="U276" s="328"/>
      <c r="V276" s="328"/>
      <c r="W276" s="255"/>
      <c r="X276" s="222"/>
      <c r="Y276" s="63"/>
      <c r="Z276" s="63"/>
      <c r="AA276" s="63"/>
      <c r="AB276" s="64"/>
      <c r="AC276" s="31"/>
    </row>
    <row r="277" spans="1:30" ht="15" customHeight="1" outlineLevel="1" x14ac:dyDescent="0.3">
      <c r="B277" s="10" t="str">
        <f>IF(OR(COUNTBLANK(Q277:W277)&lt;&gt;0,SUM(Q277:W277)=0), ".", "")</f>
        <v/>
      </c>
      <c r="F277" s="78"/>
      <c r="G277" s="63">
        <v>2</v>
      </c>
      <c r="H277" s="68"/>
      <c r="I277" s="68"/>
      <c r="J277" s="63"/>
      <c r="K277" s="63"/>
      <c r="L277" s="63"/>
      <c r="M277" s="294"/>
      <c r="N277" s="100"/>
      <c r="O277" s="316" t="s">
        <v>29</v>
      </c>
      <c r="P277" s="316" t="s">
        <v>94</v>
      </c>
      <c r="Q277" s="53">
        <f>28 * 8</f>
        <v>224</v>
      </c>
      <c r="R277" s="53">
        <f t="shared" ref="R277:V277" si="15">28 * 8</f>
        <v>224</v>
      </c>
      <c r="S277" s="53">
        <f t="shared" si="15"/>
        <v>224</v>
      </c>
      <c r="T277" s="53">
        <f t="shared" si="15"/>
        <v>224</v>
      </c>
      <c r="U277" s="53">
        <f t="shared" si="15"/>
        <v>224</v>
      </c>
      <c r="V277" s="53">
        <f t="shared" si="15"/>
        <v>224</v>
      </c>
      <c r="W277" s="315" t="str">
        <f>CHOSEN_CURRENCY</f>
        <v>-</v>
      </c>
      <c r="X277" s="316"/>
      <c r="Y277" s="63"/>
      <c r="Z277" s="63"/>
      <c r="AA277" s="63"/>
      <c r="AB277" s="64"/>
      <c r="AC277" s="31"/>
    </row>
    <row r="278" spans="1:30" ht="15" customHeight="1" outlineLevel="1" x14ac:dyDescent="0.3">
      <c r="F278" s="78"/>
      <c r="G278" s="63">
        <v>3</v>
      </c>
      <c r="H278" s="68"/>
      <c r="I278" s="68"/>
      <c r="J278" s="63"/>
      <c r="K278" s="63"/>
      <c r="L278" s="63"/>
      <c r="M278" s="294"/>
      <c r="N278" s="100"/>
      <c r="O278" s="318"/>
      <c r="P278" s="318"/>
      <c r="Q278" s="295" t="s">
        <v>8</v>
      </c>
      <c r="R278" s="295" t="s">
        <v>9</v>
      </c>
      <c r="S278" s="295" t="s">
        <v>10</v>
      </c>
      <c r="T278" s="295" t="s">
        <v>12</v>
      </c>
      <c r="U278" s="295" t="s">
        <v>11</v>
      </c>
      <c r="V278" s="296" t="s">
        <v>13</v>
      </c>
      <c r="W278" s="317"/>
      <c r="X278" s="318"/>
      <c r="Y278" s="63"/>
      <c r="Z278" s="63"/>
      <c r="AA278" s="63"/>
      <c r="AB278" s="64"/>
      <c r="AC278" s="31"/>
    </row>
    <row r="279" spans="1:30" ht="15" customHeight="1" outlineLevel="1" x14ac:dyDescent="0.3">
      <c r="B279" s="10" t="str">
        <f t="shared" ref="B279:B284" si="16">IF(SUM(Q279:V279)&lt;&gt;1,".","")</f>
        <v/>
      </c>
      <c r="F279" s="78"/>
      <c r="G279" s="68">
        <v>4</v>
      </c>
      <c r="H279" s="68"/>
      <c r="I279" s="68"/>
      <c r="J279" s="63"/>
      <c r="K279" s="63"/>
      <c r="L279" s="67" t="s">
        <v>84</v>
      </c>
      <c r="M279" s="285" t="str">
        <f>$L$12</f>
        <v>A</v>
      </c>
      <c r="N279" s="31" t="str">
        <f>$M$12</f>
        <v>Discovery / Requirement Analysis</v>
      </c>
      <c r="O279" s="65">
        <f>S12</f>
        <v>224</v>
      </c>
      <c r="P279" s="104">
        <f>ROUND(REQ_EFFORT/5,0)</f>
        <v>45</v>
      </c>
      <c r="Q279" s="105">
        <v>0.85</v>
      </c>
      <c r="R279" s="269">
        <v>0.1</v>
      </c>
      <c r="S279" s="45"/>
      <c r="T279" s="45"/>
      <c r="U279" s="45"/>
      <c r="V279" s="46">
        <v>0.05</v>
      </c>
      <c r="W279" s="319">
        <f t="shared" ref="W279:W284" si="17">(($O279*Q279)*Q$277)+(($O279*R279)*R$277)+(($O279*S279)*S$277)+(($O279*T279)*T$277)+(($O279*U279)*U$277)+(($O279*V279)*V$277)</f>
        <v>50176</v>
      </c>
      <c r="X279" s="320"/>
      <c r="Y279" s="63"/>
      <c r="Z279" s="63"/>
      <c r="AA279" s="63"/>
      <c r="AB279" s="64"/>
      <c r="AC279" s="31"/>
    </row>
    <row r="280" spans="1:30" outlineLevel="1" x14ac:dyDescent="0.3">
      <c r="B280" s="10" t="str">
        <f t="shared" si="16"/>
        <v/>
      </c>
      <c r="F280" s="78"/>
      <c r="G280" s="63">
        <v>5</v>
      </c>
      <c r="H280" s="68"/>
      <c r="I280" s="68"/>
      <c r="J280" s="63"/>
      <c r="K280" s="63"/>
      <c r="L280" s="67" t="s">
        <v>85</v>
      </c>
      <c r="M280" s="285" t="str">
        <f>$L$65</f>
        <v>B</v>
      </c>
      <c r="N280" s="31" t="str">
        <f>$M$65</f>
        <v>System Design, Framework and Test Cases</v>
      </c>
      <c r="O280" s="65">
        <f>S65</f>
        <v>203</v>
      </c>
      <c r="P280" s="104">
        <f>ROUND(DESIGN_EFFORT/5,0)</f>
        <v>41</v>
      </c>
      <c r="Q280" s="45"/>
      <c r="R280" s="270">
        <v>0.7</v>
      </c>
      <c r="S280" s="44">
        <v>0.2</v>
      </c>
      <c r="T280" s="45"/>
      <c r="U280" s="44">
        <v>0.1</v>
      </c>
      <c r="V280" s="47"/>
      <c r="W280" s="319">
        <f t="shared" si="17"/>
        <v>45471.999999999993</v>
      </c>
      <c r="X280" s="320"/>
      <c r="Y280" s="63"/>
      <c r="Z280" s="63"/>
      <c r="AA280" s="63"/>
      <c r="AB280" s="64"/>
      <c r="AC280" s="31"/>
    </row>
    <row r="281" spans="1:30" outlineLevel="1" x14ac:dyDescent="0.3">
      <c r="B281" s="10" t="str">
        <f t="shared" si="16"/>
        <v/>
      </c>
      <c r="F281" s="78"/>
      <c r="G281" s="63">
        <v>6</v>
      </c>
      <c r="H281" s="68"/>
      <c r="I281" s="68"/>
      <c r="J281" s="63"/>
      <c r="K281" s="63"/>
      <c r="L281" s="67" t="s">
        <v>87</v>
      </c>
      <c r="M281" s="285" t="str">
        <f>$L$96</f>
        <v>C</v>
      </c>
      <c r="N281" s="31" t="str">
        <f>$M$96</f>
        <v>Development and Unit Testing</v>
      </c>
      <c r="O281" s="65">
        <f>S96</f>
        <v>682</v>
      </c>
      <c r="P281" s="104">
        <f>ROUND(DEV_EFFORT/5,0)</f>
        <v>136</v>
      </c>
      <c r="Q281" s="45"/>
      <c r="R281" s="269"/>
      <c r="S281" s="44">
        <v>0.3</v>
      </c>
      <c r="T281" s="105">
        <v>0.7</v>
      </c>
      <c r="U281" s="45"/>
      <c r="V281" s="47"/>
      <c r="W281" s="319">
        <f t="shared" si="17"/>
        <v>152768</v>
      </c>
      <c r="X281" s="320"/>
      <c r="Y281" s="63"/>
      <c r="Z281" s="63"/>
      <c r="AA281" s="63"/>
      <c r="AB281" s="64"/>
      <c r="AC281" s="31"/>
    </row>
    <row r="282" spans="1:30" outlineLevel="1" x14ac:dyDescent="0.3">
      <c r="B282" s="10" t="str">
        <f t="shared" si="16"/>
        <v/>
      </c>
      <c r="F282" s="78"/>
      <c r="G282" s="68">
        <v>7</v>
      </c>
      <c r="H282" s="68"/>
      <c r="I282" s="68"/>
      <c r="J282" s="63"/>
      <c r="K282" s="63"/>
      <c r="L282" s="67" t="s">
        <v>11</v>
      </c>
      <c r="M282" s="285" t="str">
        <f>$L$189</f>
        <v>D</v>
      </c>
      <c r="N282" s="31" t="str">
        <f>$M$189</f>
        <v>System Testing and Stabilization</v>
      </c>
      <c r="O282" s="65">
        <f>S189</f>
        <v>421</v>
      </c>
      <c r="P282" s="104">
        <f>ROUND(QA_EFFORT/5,0)</f>
        <v>84</v>
      </c>
      <c r="Q282" s="45"/>
      <c r="R282" s="269"/>
      <c r="S282" s="44">
        <v>0.1</v>
      </c>
      <c r="T282" s="44">
        <v>0.1</v>
      </c>
      <c r="U282" s="105">
        <v>0.8</v>
      </c>
      <c r="V282" s="47"/>
      <c r="W282" s="319">
        <f t="shared" si="17"/>
        <v>94304</v>
      </c>
      <c r="X282" s="320"/>
      <c r="Y282" s="63"/>
      <c r="Z282" s="63"/>
      <c r="AA282" s="63"/>
      <c r="AB282" s="64"/>
      <c r="AC282" s="31"/>
    </row>
    <row r="283" spans="1:30" outlineLevel="1" x14ac:dyDescent="0.3">
      <c r="B283" s="10" t="str">
        <f t="shared" si="16"/>
        <v/>
      </c>
      <c r="F283" s="78"/>
      <c r="G283" s="63">
        <v>8</v>
      </c>
      <c r="H283" s="68"/>
      <c r="I283" s="68"/>
      <c r="J283" s="63"/>
      <c r="K283" s="63"/>
      <c r="L283" s="67" t="s">
        <v>86</v>
      </c>
      <c r="M283" s="285" t="str">
        <f>$L$225</f>
        <v>E</v>
      </c>
      <c r="N283" s="31" t="str">
        <f>$M$225</f>
        <v>Deployment, UAT and Documentation</v>
      </c>
      <c r="O283" s="65">
        <f>S225</f>
        <v>63</v>
      </c>
      <c r="P283" s="104">
        <f>ROUND(UAT_EFFORT/5,0)</f>
        <v>13</v>
      </c>
      <c r="Q283" s="45"/>
      <c r="R283" s="269"/>
      <c r="S283" s="44">
        <v>0.4</v>
      </c>
      <c r="T283" s="105">
        <v>0.4</v>
      </c>
      <c r="U283" s="44">
        <v>0.2</v>
      </c>
      <c r="V283" s="47"/>
      <c r="W283" s="319">
        <f t="shared" si="17"/>
        <v>14112.000000000004</v>
      </c>
      <c r="X283" s="320"/>
      <c r="Y283" s="63"/>
      <c r="Z283" s="63"/>
      <c r="AA283" s="63"/>
      <c r="AB283" s="64"/>
      <c r="AC283" s="31"/>
    </row>
    <row r="284" spans="1:30" outlineLevel="1" x14ac:dyDescent="0.3">
      <c r="B284" s="10" t="str">
        <f t="shared" si="16"/>
        <v/>
      </c>
      <c r="F284" s="78"/>
      <c r="G284" s="63">
        <v>9</v>
      </c>
      <c r="H284" s="68"/>
      <c r="I284" s="68"/>
      <c r="J284" s="63"/>
      <c r="K284" s="63"/>
      <c r="L284" s="67" t="s">
        <v>76</v>
      </c>
      <c r="M284" s="285" t="str">
        <f>$L$248</f>
        <v>F</v>
      </c>
      <c r="N284" s="31" t="str">
        <f>$M$248</f>
        <v>Others</v>
      </c>
      <c r="O284" s="65">
        <f>S248</f>
        <v>100</v>
      </c>
      <c r="P284" s="104">
        <f>ROUND(OTHER_EFFORT/5,0)</f>
        <v>20</v>
      </c>
      <c r="Q284" s="45"/>
      <c r="R284" s="269">
        <v>0.2</v>
      </c>
      <c r="S284" s="105">
        <v>0.8</v>
      </c>
      <c r="T284" s="45"/>
      <c r="U284" s="45"/>
      <c r="V284" s="47"/>
      <c r="W284" s="321">
        <f t="shared" si="17"/>
        <v>22400</v>
      </c>
      <c r="X284" s="322"/>
      <c r="Y284" s="63"/>
      <c r="Z284" s="63"/>
      <c r="AA284" s="63"/>
      <c r="AB284" s="64"/>
      <c r="AC284" s="31"/>
    </row>
    <row r="285" spans="1:30" ht="21" outlineLevel="1" x14ac:dyDescent="0.3">
      <c r="F285" s="78"/>
      <c r="G285" s="68">
        <v>10</v>
      </c>
      <c r="H285" s="68"/>
      <c r="I285" s="68"/>
      <c r="J285" s="63"/>
      <c r="K285" s="63"/>
      <c r="L285" s="63"/>
      <c r="M285" s="294"/>
      <c r="N285" s="100"/>
      <c r="O285" s="261">
        <f>SUM(O279:O284)</f>
        <v>1693</v>
      </c>
      <c r="P285" s="262">
        <f>SUM(P279:P284)</f>
        <v>339</v>
      </c>
      <c r="Q285" s="324" t="s">
        <v>116</v>
      </c>
      <c r="R285" s="324"/>
      <c r="S285" s="324"/>
      <c r="T285" s="324"/>
      <c r="U285" s="324"/>
      <c r="V285" s="324"/>
      <c r="W285" s="323">
        <f>SUM(W279:W284)</f>
        <v>379232</v>
      </c>
      <c r="X285" s="323"/>
      <c r="Y285" s="63"/>
      <c r="Z285" s="63"/>
      <c r="AA285" s="63"/>
      <c r="AB285" s="64"/>
      <c r="AC285" s="31"/>
    </row>
    <row r="286" spans="1:30" outlineLevel="1" x14ac:dyDescent="0.3">
      <c r="F286" s="78"/>
      <c r="G286" s="63"/>
      <c r="H286" s="63"/>
      <c r="I286" s="63"/>
      <c r="J286" s="63"/>
      <c r="K286" s="63"/>
      <c r="L286" s="63"/>
      <c r="M286" s="294"/>
      <c r="N286" s="64"/>
      <c r="O286" s="64"/>
      <c r="P286" s="63"/>
      <c r="Q286" s="63"/>
      <c r="R286" s="63"/>
      <c r="S286" s="63"/>
      <c r="T286" s="63"/>
      <c r="U286" s="63"/>
      <c r="V286" s="63"/>
      <c r="W286" s="63"/>
      <c r="X286" s="63"/>
      <c r="Y286" s="63"/>
      <c r="Z286" s="63"/>
      <c r="AA286" s="63"/>
      <c r="AB286" s="64"/>
      <c r="AC286" s="31"/>
    </row>
    <row r="287" spans="1:30" ht="15" customHeight="1" outlineLevel="1" x14ac:dyDescent="0.3">
      <c r="F287" s="78"/>
      <c r="G287" s="63"/>
      <c r="H287" s="63"/>
      <c r="I287" s="63"/>
      <c r="J287" s="63"/>
      <c r="K287" s="63"/>
      <c r="L287" s="63"/>
      <c r="M287" s="294"/>
      <c r="N287" s="64"/>
      <c r="O287" s="64"/>
      <c r="P287" s="63"/>
      <c r="Q287" s="336" t="s">
        <v>114</v>
      </c>
      <c r="R287" s="336"/>
      <c r="S287" s="336"/>
      <c r="T287" s="336"/>
      <c r="U287" s="336"/>
      <c r="V287" s="336"/>
      <c r="W287" s="325" t="s">
        <v>453</v>
      </c>
      <c r="X287" s="325"/>
      <c r="Y287" s="222"/>
      <c r="Z287" s="222"/>
      <c r="AA287" s="222"/>
      <c r="AB287" s="64"/>
      <c r="AC287" s="31"/>
    </row>
    <row r="288" spans="1:30" ht="15" customHeight="1" outlineLevel="1" x14ac:dyDescent="0.3">
      <c r="F288" s="78"/>
      <c r="G288" s="63"/>
      <c r="H288" s="63"/>
      <c r="I288" s="63"/>
      <c r="J288" s="63"/>
      <c r="K288" s="63"/>
      <c r="L288" s="63"/>
      <c r="M288" s="285"/>
      <c r="N288" s="31"/>
      <c r="O288" s="107" t="s">
        <v>112</v>
      </c>
      <c r="P288" s="108" t="s">
        <v>113</v>
      </c>
      <c r="Q288" s="295" t="s">
        <v>8</v>
      </c>
      <c r="R288" s="295" t="s">
        <v>9</v>
      </c>
      <c r="S288" s="295" t="s">
        <v>10</v>
      </c>
      <c r="T288" s="295" t="s">
        <v>12</v>
      </c>
      <c r="U288" s="295" t="s">
        <v>11</v>
      </c>
      <c r="V288" s="296" t="s">
        <v>13</v>
      </c>
      <c r="W288" s="325"/>
      <c r="X288" s="325"/>
      <c r="Y288" s="63"/>
      <c r="Z288" s="102"/>
      <c r="AA288" s="102"/>
      <c r="AB288" s="102"/>
      <c r="AC288" s="102"/>
    </row>
    <row r="289" spans="1:30" ht="15" customHeight="1" outlineLevel="1" x14ac:dyDescent="0.3">
      <c r="F289" s="78"/>
      <c r="G289" s="63"/>
      <c r="H289" s="63"/>
      <c r="I289" s="63"/>
      <c r="J289" s="63"/>
      <c r="K289" s="63"/>
      <c r="L289" s="63"/>
      <c r="M289" s="285" t="str">
        <f>$L$12</f>
        <v>A</v>
      </c>
      <c r="N289" s="31" t="str">
        <f>$M$12</f>
        <v>Discovery / Requirement Analysis</v>
      </c>
      <c r="O289" s="112">
        <v>42583</v>
      </c>
      <c r="P289" s="109">
        <f>O289+(((P279*REQ_BA_PERCENT)/REQ_BA_COUNT)*7)</f>
        <v>42716.875</v>
      </c>
      <c r="Q289" s="106">
        <v>2</v>
      </c>
      <c r="R289" s="223">
        <v>1</v>
      </c>
      <c r="S289" s="101"/>
      <c r="T289" s="101"/>
      <c r="U289" s="101"/>
      <c r="V289" s="54">
        <v>1</v>
      </c>
      <c r="W289" s="259">
        <v>0.75</v>
      </c>
      <c r="X289" s="63"/>
      <c r="Y289" s="310" t="s">
        <v>194</v>
      </c>
      <c r="Z289" s="310"/>
      <c r="AA289" s="310"/>
      <c r="AB289" s="64"/>
      <c r="AC289" s="103"/>
    </row>
    <row r="290" spans="1:30" outlineLevel="1" x14ac:dyDescent="0.3">
      <c r="F290" s="78"/>
      <c r="G290" s="63"/>
      <c r="H290" s="63"/>
      <c r="I290" s="63"/>
      <c r="J290" s="63"/>
      <c r="K290" s="63"/>
      <c r="L290" s="63"/>
      <c r="M290" s="285" t="str">
        <f>$L$65</f>
        <v>B</v>
      </c>
      <c r="N290" s="31" t="str">
        <f>$M$65</f>
        <v>System Design, Framework and Test Cases</v>
      </c>
      <c r="O290" s="110">
        <f>O289+((P289-O289)*W289)+1</f>
        <v>42684.40625</v>
      </c>
      <c r="P290" s="109">
        <f>O290+(((P280*DESIGN_TA_PERCENT)/DESIGN_TA_COUNT)*7)</f>
        <v>42751.372916666667</v>
      </c>
      <c r="Q290" s="101">
        <v>1</v>
      </c>
      <c r="R290" s="224">
        <v>3</v>
      </c>
      <c r="S290" s="101">
        <v>1</v>
      </c>
      <c r="T290" s="101"/>
      <c r="U290" s="101">
        <v>1</v>
      </c>
      <c r="V290" s="54"/>
      <c r="W290" s="260">
        <v>0.75</v>
      </c>
      <c r="X290" s="63"/>
      <c r="Y290" s="310"/>
      <c r="Z290" s="310"/>
      <c r="AA290" s="310"/>
      <c r="AB290" s="64"/>
      <c r="AC290" s="31"/>
    </row>
    <row r="291" spans="1:30" outlineLevel="1" x14ac:dyDescent="0.3">
      <c r="F291" s="78"/>
      <c r="G291" s="63"/>
      <c r="H291" s="63"/>
      <c r="I291" s="63"/>
      <c r="J291" s="63"/>
      <c r="K291" s="63"/>
      <c r="L291" s="63"/>
      <c r="M291" s="285" t="str">
        <f>$L$96</f>
        <v>C</v>
      </c>
      <c r="N291" s="31" t="str">
        <f>$M$96</f>
        <v>Development and Unit Testing</v>
      </c>
      <c r="O291" s="110">
        <f>O290+((P290-O290)*W290)+1</f>
        <v>42735.631249999999</v>
      </c>
      <c r="P291" s="109">
        <f>O291+(((P281*DEV_DEV_PERCENT)/DEV_DEV_COUNT)*7)</f>
        <v>43068.831249999996</v>
      </c>
      <c r="Q291" s="101"/>
      <c r="R291" s="223"/>
      <c r="S291" s="101">
        <v>1</v>
      </c>
      <c r="T291" s="106">
        <v>2</v>
      </c>
      <c r="U291" s="101"/>
      <c r="V291" s="54"/>
      <c r="W291" s="259">
        <v>0.75</v>
      </c>
      <c r="X291" s="63"/>
      <c r="Y291" s="310"/>
      <c r="Z291" s="310"/>
      <c r="AA291" s="310"/>
      <c r="AB291" s="64"/>
      <c r="AC291" s="31"/>
    </row>
    <row r="292" spans="1:30" outlineLevel="1" x14ac:dyDescent="0.3">
      <c r="F292" s="78"/>
      <c r="G292" s="63"/>
      <c r="H292" s="63"/>
      <c r="I292" s="63"/>
      <c r="J292" s="63"/>
      <c r="K292" s="63"/>
      <c r="L292" s="63"/>
      <c r="M292" s="285" t="str">
        <f>$L$189</f>
        <v>D</v>
      </c>
      <c r="N292" s="31" t="str">
        <f>$M$189</f>
        <v>System Testing and Stabilization</v>
      </c>
      <c r="O292" s="110">
        <f>O291+((P291-O291)*W291)+1</f>
        <v>42986.53125</v>
      </c>
      <c r="P292" s="109">
        <f>O292+(((P282*TESTING_QA_PERCENT)/TESTING_QA_COUNT)*7)</f>
        <v>43456.931250000001</v>
      </c>
      <c r="Q292" s="101"/>
      <c r="R292" s="223"/>
      <c r="S292" s="101">
        <v>1</v>
      </c>
      <c r="T292" s="101">
        <v>2</v>
      </c>
      <c r="U292" s="106">
        <v>1</v>
      </c>
      <c r="V292" s="256"/>
      <c r="W292" s="259">
        <v>1</v>
      </c>
      <c r="X292" s="63"/>
      <c r="Y292" s="310"/>
      <c r="Z292" s="310"/>
      <c r="AA292" s="310"/>
      <c r="AB292" s="64"/>
      <c r="AC292" s="31"/>
    </row>
    <row r="293" spans="1:30" outlineLevel="1" x14ac:dyDescent="0.3">
      <c r="F293" s="78"/>
      <c r="G293" s="63"/>
      <c r="H293" s="63"/>
      <c r="I293" s="63"/>
      <c r="J293" s="63"/>
      <c r="K293" s="63"/>
      <c r="L293" s="63"/>
      <c r="M293" s="285" t="str">
        <f>$L$225</f>
        <v>E</v>
      </c>
      <c r="N293" s="31" t="str">
        <f>$M$225</f>
        <v>Deployment, UAT and Documentation</v>
      </c>
      <c r="O293" s="110">
        <f>O292+((P292-O292)*W292)+1</f>
        <v>43457.931250000001</v>
      </c>
      <c r="P293" s="109">
        <f>O293+(((P283*UAT_DEV_PERCENT)/UAT_DEV_COUNT)*7)</f>
        <v>43476.131249999999</v>
      </c>
      <c r="Q293" s="101"/>
      <c r="R293" s="223"/>
      <c r="S293" s="101">
        <v>1</v>
      </c>
      <c r="T293" s="106">
        <v>2</v>
      </c>
      <c r="U293" s="101">
        <v>1</v>
      </c>
      <c r="V293" s="54"/>
      <c r="W293" s="259">
        <v>1</v>
      </c>
      <c r="X293" s="63"/>
      <c r="Y293" s="310"/>
      <c r="Z293" s="310"/>
      <c r="AA293" s="310"/>
      <c r="AB293" s="64"/>
      <c r="AC293" s="31"/>
    </row>
    <row r="294" spans="1:30" outlineLevel="1" x14ac:dyDescent="0.3">
      <c r="F294" s="78"/>
      <c r="G294" s="63"/>
      <c r="H294" s="63"/>
      <c r="I294" s="63"/>
      <c r="J294" s="63"/>
      <c r="K294" s="63"/>
      <c r="L294" s="63"/>
      <c r="M294" s="285" t="str">
        <f>$L$248</f>
        <v>F</v>
      </c>
      <c r="N294" s="31" t="str">
        <f>$M$248</f>
        <v>Others</v>
      </c>
      <c r="O294" s="111">
        <f>O293+((P293-O293)*W293)+1</f>
        <v>43477.131249999999</v>
      </c>
      <c r="P294" s="118">
        <f>O294+(((P284*OTHER_TL_PERCENT)/OTHER_TL_COUNT)*7)</f>
        <v>43589.131249999999</v>
      </c>
      <c r="Q294" s="119"/>
      <c r="R294" s="225">
        <v>0.5</v>
      </c>
      <c r="S294" s="120">
        <v>1</v>
      </c>
      <c r="T294" s="119"/>
      <c r="U294" s="119"/>
      <c r="V294" s="121"/>
      <c r="W294" s="257"/>
      <c r="X294" s="63"/>
      <c r="Y294" s="63"/>
      <c r="Z294" s="63"/>
      <c r="AA294" s="63"/>
      <c r="AB294" s="64"/>
      <c r="AC294" s="31"/>
    </row>
    <row r="295" spans="1:30" ht="15.6" outlineLevel="1" x14ac:dyDescent="0.3">
      <c r="F295" s="78"/>
      <c r="G295" s="63">
        <v>1</v>
      </c>
      <c r="H295" s="63"/>
      <c r="I295" s="63"/>
      <c r="J295" s="63"/>
      <c r="K295" s="63"/>
      <c r="L295" s="28"/>
      <c r="M295" s="285"/>
      <c r="N295" s="28"/>
      <c r="O295" s="115" t="s">
        <v>118</v>
      </c>
      <c r="P295" s="124">
        <f>NETWORKDAYS(START_DATE,AUTOMATED_END_DATE)/5</f>
        <v>144</v>
      </c>
      <c r="Q295" s="123" t="s">
        <v>94</v>
      </c>
      <c r="R295" s="122"/>
      <c r="S295" s="117" t="s">
        <v>117</v>
      </c>
      <c r="T295" s="335">
        <f>AUTOMATED_END_DATE</f>
        <v>43589.131249999999</v>
      </c>
      <c r="U295" s="335"/>
      <c r="V295" s="258"/>
      <c r="W295" s="258"/>
      <c r="X295" s="258"/>
      <c r="Y295" s="28"/>
      <c r="Z295" s="28"/>
      <c r="AA295" s="28"/>
      <c r="AB295" s="31"/>
      <c r="AC295" s="31"/>
    </row>
    <row r="296" spans="1:30" ht="15.6" outlineLevel="1" x14ac:dyDescent="0.3">
      <c r="F296" s="78"/>
      <c r="G296" s="63">
        <v>2</v>
      </c>
      <c r="H296" s="63"/>
      <c r="I296" s="63"/>
      <c r="J296" s="63"/>
      <c r="K296" s="63"/>
      <c r="L296" s="28"/>
      <c r="M296" s="285"/>
      <c r="N296" s="28"/>
      <c r="O296" s="115" t="s">
        <v>119</v>
      </c>
      <c r="P296" s="124">
        <f>NETWORKDAYS(START_DATE,MANUAL_END_DATE)/5</f>
        <v>-143</v>
      </c>
      <c r="Q296" s="123" t="s">
        <v>94</v>
      </c>
      <c r="R296" s="116"/>
      <c r="S296" s="117" t="s">
        <v>117</v>
      </c>
      <c r="T296" s="335">
        <f>MANUAL_END_DATE</f>
        <v>41583</v>
      </c>
      <c r="U296" s="335"/>
      <c r="V296" s="258"/>
      <c r="W296" s="258"/>
      <c r="X296" s="258"/>
      <c r="Y296" s="28"/>
      <c r="Z296" s="28"/>
      <c r="AA296" s="28"/>
      <c r="AB296" s="31"/>
      <c r="AC296" s="31"/>
    </row>
    <row r="297" spans="1:30" ht="15" customHeight="1" outlineLevel="1" x14ac:dyDescent="0.3">
      <c r="F297" s="78"/>
      <c r="G297" s="63"/>
      <c r="H297" s="63"/>
      <c r="I297" s="63"/>
      <c r="J297" s="63"/>
      <c r="K297" s="63"/>
      <c r="L297" s="28"/>
      <c r="M297" s="285"/>
      <c r="N297" s="28"/>
      <c r="O297" s="113"/>
      <c r="P297" s="66"/>
      <c r="Q297" s="114"/>
      <c r="R297" s="28"/>
      <c r="S297" s="28"/>
      <c r="T297" s="28"/>
      <c r="U297" s="28"/>
      <c r="V297" s="28"/>
      <c r="W297" s="28"/>
      <c r="X297" s="28"/>
      <c r="Y297" s="28"/>
      <c r="Z297" s="28"/>
      <c r="AA297" s="28"/>
      <c r="AB297" s="31"/>
      <c r="AC297" s="31"/>
    </row>
    <row r="298" spans="1:30" outlineLevel="1" x14ac:dyDescent="0.3">
      <c r="F298" s="78"/>
      <c r="G298" s="63">
        <v>3</v>
      </c>
      <c r="H298" s="63"/>
      <c r="I298" s="63"/>
      <c r="J298" s="63"/>
      <c r="K298" s="63"/>
      <c r="L298" s="28"/>
      <c r="M298" s="285"/>
      <c r="N298" s="31"/>
      <c r="O298" s="31"/>
      <c r="P298" s="28"/>
      <c r="Q298" s="28"/>
      <c r="R298" s="28"/>
      <c r="S298" s="75" t="s">
        <v>115</v>
      </c>
      <c r="T298" s="76" t="s">
        <v>92</v>
      </c>
      <c r="U298" s="28"/>
      <c r="V298" s="28"/>
      <c r="W298" s="28"/>
      <c r="X298" s="28"/>
      <c r="Y298" s="28"/>
      <c r="Z298" s="28"/>
      <c r="AA298" s="28"/>
      <c r="AB298" s="31"/>
      <c r="AC298" s="31"/>
    </row>
    <row r="299" spans="1:30" outlineLevel="1" x14ac:dyDescent="0.3">
      <c r="F299" s="78"/>
      <c r="G299" s="63"/>
      <c r="H299" s="63"/>
      <c r="I299" s="63"/>
      <c r="J299" s="63"/>
      <c r="K299" s="63"/>
      <c r="L299" s="28"/>
      <c r="M299" s="285"/>
      <c r="N299" s="31"/>
      <c r="O299" s="31"/>
      <c r="P299" s="28"/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8"/>
      <c r="AB299" s="31"/>
      <c r="AC299" s="31"/>
    </row>
    <row r="300" spans="1:30" s="11" customFormat="1" ht="20.25" customHeight="1" outlineLevel="1" x14ac:dyDescent="0.3">
      <c r="A300" s="93"/>
      <c r="B300" s="10"/>
      <c r="C300" s="78"/>
      <c r="D300" s="78"/>
      <c r="E300" s="78"/>
      <c r="F300" s="78"/>
      <c r="G300" s="43"/>
      <c r="H300" s="43"/>
      <c r="I300" s="43"/>
      <c r="J300" s="43"/>
      <c r="K300" s="43"/>
      <c r="L300" s="43"/>
      <c r="M300" s="281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  <c r="AA300" s="43"/>
      <c r="AB300" s="43"/>
      <c r="AC300" s="43"/>
      <c r="AD300" s="12"/>
    </row>
    <row r="301" spans="1:30" s="11" customFormat="1" x14ac:dyDescent="0.3">
      <c r="A301" s="93"/>
      <c r="B301" s="10"/>
      <c r="C301" s="80"/>
      <c r="D301" s="80"/>
      <c r="E301" s="80"/>
      <c r="F301" s="78"/>
      <c r="M301" s="275"/>
      <c r="N301" s="12"/>
      <c r="O301" s="12"/>
      <c r="AB301" s="12"/>
      <c r="AC301" s="12"/>
      <c r="AD301" s="12"/>
    </row>
    <row r="302" spans="1:30" s="11" customFormat="1" ht="20.25" customHeight="1" x14ac:dyDescent="0.3">
      <c r="A302" s="93"/>
      <c r="B302" s="10"/>
      <c r="C302" s="78"/>
      <c r="D302" s="78"/>
      <c r="E302" s="78"/>
      <c r="F302" s="78"/>
      <c r="G302" s="305" t="s">
        <v>48</v>
      </c>
      <c r="H302" s="305"/>
      <c r="I302" s="178"/>
      <c r="J302" s="43"/>
      <c r="K302" s="43"/>
      <c r="L302" s="39"/>
      <c r="M302" s="289" t="s">
        <v>185</v>
      </c>
      <c r="N302" s="39"/>
      <c r="O302" s="39"/>
      <c r="P302" s="39"/>
      <c r="Q302" s="39"/>
      <c r="R302" s="39"/>
      <c r="S302" s="39"/>
      <c r="T302" s="39"/>
      <c r="U302" s="39"/>
      <c r="V302" s="39"/>
      <c r="W302" s="39"/>
      <c r="X302" s="39"/>
      <c r="Y302" s="39"/>
      <c r="Z302" s="39"/>
      <c r="AA302" s="39"/>
      <c r="AB302" s="219" t="str">
        <f>TEMPLATE_NAME&amp;" "&amp;TEMPLATE_VER</f>
        <v>AG Estimation Template -  Version 2.0.4</v>
      </c>
      <c r="AC302" s="39"/>
      <c r="AD302" s="12"/>
    </row>
    <row r="303" spans="1:30" s="11" customFormat="1" outlineLevel="1" x14ac:dyDescent="0.3">
      <c r="A303" s="93"/>
      <c r="B303" s="10"/>
      <c r="C303" s="80"/>
      <c r="D303" s="80"/>
      <c r="E303" s="80"/>
      <c r="F303" s="78"/>
      <c r="G303" s="28"/>
      <c r="H303" s="28"/>
      <c r="I303" s="28"/>
      <c r="J303" s="28"/>
      <c r="K303" s="28"/>
      <c r="L303" s="28"/>
      <c r="M303" s="285"/>
      <c r="N303" s="31"/>
      <c r="O303" s="31"/>
      <c r="P303" s="28"/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8"/>
      <c r="AB303" s="31"/>
      <c r="AC303" s="31"/>
      <c r="AD303" s="12"/>
    </row>
    <row r="304" spans="1:30" s="11" customFormat="1" ht="15" customHeight="1" outlineLevel="1" x14ac:dyDescent="0.3">
      <c r="A304" s="93"/>
      <c r="B304" s="10"/>
      <c r="C304" s="80"/>
      <c r="D304" s="80"/>
      <c r="E304" s="80"/>
      <c r="F304" s="78"/>
      <c r="G304" s="28"/>
      <c r="H304" s="28"/>
      <c r="I304" s="28"/>
      <c r="J304" s="28"/>
      <c r="K304" s="28"/>
      <c r="L304" s="28"/>
      <c r="M304" s="285"/>
      <c r="N304" s="142" t="s">
        <v>130</v>
      </c>
      <c r="O304" s="31"/>
      <c r="P304" s="28"/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8"/>
      <c r="AB304" s="31"/>
      <c r="AC304" s="31"/>
      <c r="AD304" s="12"/>
    </row>
    <row r="305" spans="1:30" s="11" customFormat="1" ht="14.25" customHeight="1" outlineLevel="1" x14ac:dyDescent="0.3">
      <c r="A305" s="93"/>
      <c r="B305" s="10"/>
      <c r="C305" s="78"/>
      <c r="D305" s="78"/>
      <c r="E305" s="78"/>
      <c r="F305" s="78"/>
      <c r="G305" s="28"/>
      <c r="H305" s="28"/>
      <c r="I305" s="28"/>
      <c r="J305" s="28"/>
      <c r="K305" s="28"/>
      <c r="L305" s="28"/>
      <c r="M305" s="285"/>
      <c r="N305" s="157" t="s">
        <v>5</v>
      </c>
      <c r="O305" s="155" t="s">
        <v>579</v>
      </c>
      <c r="P305" s="187"/>
      <c r="Q305" s="187"/>
      <c r="R305" s="188"/>
      <c r="S305" s="189"/>
      <c r="T305" s="187"/>
      <c r="U305" s="187"/>
      <c r="V305" s="187"/>
      <c r="W305" s="187"/>
      <c r="X305" s="28"/>
      <c r="Y305" s="28"/>
      <c r="Z305" s="28"/>
      <c r="AA305" s="28"/>
      <c r="AB305" s="28"/>
      <c r="AC305" s="31"/>
      <c r="AD305" s="12"/>
    </row>
    <row r="306" spans="1:30" s="11" customFormat="1" ht="14.25" customHeight="1" outlineLevel="1" x14ac:dyDescent="0.3">
      <c r="A306" s="93"/>
      <c r="B306" s="10"/>
      <c r="C306" s="78"/>
      <c r="D306" s="78"/>
      <c r="E306" s="78"/>
      <c r="F306" s="78"/>
      <c r="G306" s="28"/>
      <c r="H306" s="28"/>
      <c r="I306" s="28"/>
      <c r="J306" s="28"/>
      <c r="K306" s="28"/>
      <c r="L306" s="28"/>
      <c r="M306" s="285"/>
      <c r="N306" s="157" t="s">
        <v>30</v>
      </c>
      <c r="O306" s="156" t="s">
        <v>580</v>
      </c>
      <c r="P306" s="187"/>
      <c r="Q306" s="187"/>
      <c r="R306" s="189"/>
      <c r="S306" s="189"/>
      <c r="T306" s="187"/>
      <c r="U306" s="187"/>
      <c r="V306" s="187"/>
      <c r="W306" s="187"/>
      <c r="X306" s="28"/>
      <c r="Y306" s="28"/>
      <c r="Z306" s="28"/>
      <c r="AA306" s="28"/>
      <c r="AB306" s="28"/>
      <c r="AC306" s="31"/>
      <c r="AD306" s="12"/>
    </row>
    <row r="307" spans="1:30" s="11" customFormat="1" ht="14.25" customHeight="1" outlineLevel="1" x14ac:dyDescent="0.3">
      <c r="A307" s="93"/>
      <c r="B307" s="10"/>
      <c r="C307" s="78"/>
      <c r="D307" s="78"/>
      <c r="E307" s="78"/>
      <c r="F307" s="78"/>
      <c r="G307" s="28"/>
      <c r="H307" s="28"/>
      <c r="I307" s="28"/>
      <c r="J307" s="28"/>
      <c r="K307" s="28"/>
      <c r="L307" s="28"/>
      <c r="M307" s="285"/>
      <c r="N307" s="157" t="s">
        <v>36</v>
      </c>
      <c r="O307" s="156" t="s">
        <v>38</v>
      </c>
      <c r="P307" s="187"/>
      <c r="Q307" s="187"/>
      <c r="R307" s="189"/>
      <c r="S307" s="140"/>
      <c r="T307" s="140"/>
      <c r="U307" s="140"/>
      <c r="V307" s="187"/>
      <c r="W307" s="187"/>
      <c r="X307" s="28"/>
      <c r="Y307" s="28"/>
      <c r="Z307" s="28"/>
      <c r="AA307" s="28"/>
      <c r="AB307" s="28"/>
      <c r="AC307" s="31"/>
      <c r="AD307" s="12"/>
    </row>
    <row r="308" spans="1:30" s="11" customFormat="1" ht="14.25" customHeight="1" outlineLevel="1" x14ac:dyDescent="0.3">
      <c r="A308" s="93"/>
      <c r="B308" s="10"/>
      <c r="C308" s="78"/>
      <c r="D308" s="78"/>
      <c r="E308" s="78"/>
      <c r="F308" s="78"/>
      <c r="G308" s="28"/>
      <c r="H308" s="28"/>
      <c r="I308" s="28"/>
      <c r="J308" s="28"/>
      <c r="K308" s="28"/>
      <c r="L308" s="28"/>
      <c r="M308" s="285"/>
      <c r="N308" s="157" t="s">
        <v>31</v>
      </c>
      <c r="O308" s="156" t="s">
        <v>32</v>
      </c>
      <c r="P308" s="187"/>
      <c r="Q308" s="187"/>
      <c r="R308" s="189"/>
      <c r="S308" s="140"/>
      <c r="T308" s="140"/>
      <c r="U308" s="140"/>
      <c r="V308" s="187"/>
      <c r="W308" s="187"/>
      <c r="X308" s="28"/>
      <c r="Y308" s="28"/>
      <c r="Z308" s="28"/>
      <c r="AA308" s="28"/>
      <c r="AB308" s="28"/>
      <c r="AC308" s="31"/>
      <c r="AD308" s="12"/>
    </row>
    <row r="309" spans="1:30" s="11" customFormat="1" ht="14.25" customHeight="1" outlineLevel="1" x14ac:dyDescent="0.3">
      <c r="A309" s="93"/>
      <c r="B309" s="10"/>
      <c r="C309" s="78"/>
      <c r="D309" s="78"/>
      <c r="E309" s="78"/>
      <c r="F309" s="78"/>
      <c r="G309" s="28"/>
      <c r="H309" s="28"/>
      <c r="I309" s="28"/>
      <c r="J309" s="28"/>
      <c r="K309" s="28"/>
      <c r="L309" s="28"/>
      <c r="M309" s="285"/>
      <c r="N309" s="157" t="s">
        <v>56</v>
      </c>
      <c r="O309" s="156"/>
      <c r="P309" s="187"/>
      <c r="Q309" s="187"/>
      <c r="R309" s="189"/>
      <c r="S309" s="140"/>
      <c r="T309" s="140"/>
      <c r="U309" s="140"/>
      <c r="V309" s="187"/>
      <c r="W309" s="187"/>
      <c r="X309" s="28"/>
      <c r="Y309" s="28"/>
      <c r="Z309" s="28"/>
      <c r="AA309" s="28"/>
      <c r="AB309" s="28"/>
      <c r="AC309" s="31"/>
      <c r="AD309" s="12"/>
    </row>
    <row r="310" spans="1:30" s="11" customFormat="1" ht="14.25" customHeight="1" outlineLevel="1" x14ac:dyDescent="0.3">
      <c r="A310" s="93"/>
      <c r="B310" s="10"/>
      <c r="C310" s="78"/>
      <c r="D310" s="78"/>
      <c r="E310" s="78"/>
      <c r="F310" s="78"/>
      <c r="G310" s="28"/>
      <c r="H310" s="28"/>
      <c r="I310" s="28"/>
      <c r="J310" s="28"/>
      <c r="K310" s="28"/>
      <c r="L310" s="28"/>
      <c r="M310" s="285"/>
      <c r="N310" s="157" t="s">
        <v>67</v>
      </c>
      <c r="O310" s="156" t="s">
        <v>6</v>
      </c>
      <c r="P310" s="187"/>
      <c r="Q310" s="187"/>
      <c r="R310" s="155"/>
      <c r="S310" s="140"/>
      <c r="T310" s="140"/>
      <c r="U310" s="140"/>
      <c r="V310" s="187"/>
      <c r="W310" s="187"/>
      <c r="X310" s="28"/>
      <c r="Y310" s="28"/>
      <c r="Z310" s="28"/>
      <c r="AA310" s="28"/>
      <c r="AB310" s="28"/>
      <c r="AC310" s="31"/>
      <c r="AD310" s="12"/>
    </row>
    <row r="311" spans="1:30" s="11" customFormat="1" ht="14.25" customHeight="1" outlineLevel="1" x14ac:dyDescent="0.3">
      <c r="A311" s="93"/>
      <c r="B311" s="10"/>
      <c r="C311" s="78"/>
      <c r="D311" s="78"/>
      <c r="E311" s="78"/>
      <c r="F311" s="78"/>
      <c r="G311" s="28"/>
      <c r="H311" s="28"/>
      <c r="I311" s="28"/>
      <c r="J311" s="28"/>
      <c r="K311" s="28"/>
      <c r="L311" s="28"/>
      <c r="M311" s="285"/>
      <c r="N311" s="157" t="s">
        <v>4</v>
      </c>
      <c r="O311" s="155" t="s">
        <v>23</v>
      </c>
      <c r="P311" s="187"/>
      <c r="Q311" s="187"/>
      <c r="R311" s="187"/>
      <c r="S311" s="140"/>
      <c r="T311" s="140"/>
      <c r="U311" s="140"/>
      <c r="V311" s="187"/>
      <c r="W311" s="187"/>
      <c r="X311" s="28"/>
      <c r="Y311" s="28"/>
      <c r="Z311" s="28"/>
      <c r="AA311" s="28"/>
      <c r="AB311" s="28"/>
      <c r="AC311" s="31"/>
      <c r="AD311" s="12"/>
    </row>
    <row r="312" spans="1:30" s="11" customFormat="1" ht="14.25" customHeight="1" outlineLevel="1" x14ac:dyDescent="0.3">
      <c r="A312" s="93"/>
      <c r="B312" s="10"/>
      <c r="C312" s="78"/>
      <c r="D312" s="78"/>
      <c r="E312" s="78"/>
      <c r="F312" s="78"/>
      <c r="G312" s="28"/>
      <c r="H312" s="28"/>
      <c r="I312" s="28"/>
      <c r="J312" s="28"/>
      <c r="K312" s="28"/>
      <c r="L312" s="28"/>
      <c r="M312" s="285"/>
      <c r="N312" s="157" t="s">
        <v>26</v>
      </c>
      <c r="O312" s="155" t="s">
        <v>23</v>
      </c>
      <c r="P312" s="187"/>
      <c r="Q312" s="187"/>
      <c r="R312" s="187"/>
      <c r="S312" s="140"/>
      <c r="T312" s="140"/>
      <c r="U312" s="140"/>
      <c r="V312" s="187"/>
      <c r="W312" s="187"/>
      <c r="X312" s="28"/>
      <c r="Y312" s="28"/>
      <c r="Z312" s="28"/>
      <c r="AA312" s="28"/>
      <c r="AB312" s="28"/>
      <c r="AC312" s="31"/>
      <c r="AD312" s="12"/>
    </row>
    <row r="313" spans="1:30" s="11" customFormat="1" ht="14.25" customHeight="1" outlineLevel="1" x14ac:dyDescent="0.3">
      <c r="A313" s="93"/>
      <c r="B313" s="10"/>
      <c r="C313" s="78"/>
      <c r="D313" s="78"/>
      <c r="E313" s="78"/>
      <c r="F313" s="78"/>
      <c r="G313" s="28"/>
      <c r="H313" s="28"/>
      <c r="I313" s="28"/>
      <c r="J313" s="28"/>
      <c r="K313" s="28"/>
      <c r="L313" s="28"/>
      <c r="M313" s="285"/>
      <c r="N313" s="157"/>
      <c r="O313" s="28"/>
      <c r="P313" s="28"/>
      <c r="Q313" s="28"/>
      <c r="R313" s="28"/>
      <c r="S313" s="139"/>
      <c r="T313" s="139"/>
      <c r="U313" s="139"/>
      <c r="V313" s="139"/>
      <c r="W313" s="139"/>
      <c r="X313" s="28"/>
      <c r="Y313" s="28"/>
      <c r="Z313" s="28"/>
      <c r="AA313" s="28"/>
      <c r="AB313" s="139"/>
      <c r="AC313" s="31"/>
      <c r="AD313" s="12"/>
    </row>
    <row r="314" spans="1:30" s="11" customFormat="1" ht="15" customHeight="1" outlineLevel="1" x14ac:dyDescent="0.3">
      <c r="A314" s="93"/>
      <c r="B314" s="10"/>
      <c r="C314" s="80"/>
      <c r="D314" s="80"/>
      <c r="E314" s="80"/>
      <c r="F314" s="78"/>
      <c r="G314" s="28"/>
      <c r="H314" s="28"/>
      <c r="I314" s="28"/>
      <c r="J314" s="28"/>
      <c r="K314" s="28"/>
      <c r="L314" s="28"/>
      <c r="M314" s="285"/>
      <c r="N314" s="329" t="str">
        <f>"Total effort is "&amp;TEXT(TOTAL_EFFORT,"##,##,###")&amp;" PDs. How much up or down it can safely be without being way off?"</f>
        <v>Total effort is 1,693 PDs. How much up or down it can safely be without being way off?</v>
      </c>
      <c r="O314" s="142" t="s">
        <v>128</v>
      </c>
      <c r="P314" s="142" t="s">
        <v>129</v>
      </c>
      <c r="Q314" s="28"/>
      <c r="R314" s="28"/>
      <c r="S314" s="139"/>
      <c r="T314" s="139"/>
      <c r="U314" s="139"/>
      <c r="V314" s="139"/>
      <c r="W314" s="139"/>
      <c r="X314" s="28"/>
      <c r="Y314" s="28"/>
      <c r="Z314" s="28"/>
      <c r="AA314" s="28"/>
      <c r="AB314" s="31"/>
      <c r="AC314" s="31"/>
      <c r="AD314" s="12"/>
    </row>
    <row r="315" spans="1:30" s="11" customFormat="1" ht="15" customHeight="1" outlineLevel="1" x14ac:dyDescent="0.3">
      <c r="A315" s="93"/>
      <c r="B315" s="10"/>
      <c r="C315" s="80"/>
      <c r="D315" s="80"/>
      <c r="E315" s="80"/>
      <c r="F315" s="78"/>
      <c r="G315" s="28"/>
      <c r="H315" s="28"/>
      <c r="I315" s="28"/>
      <c r="J315" s="28"/>
      <c r="K315" s="28"/>
      <c r="L315" s="28"/>
      <c r="M315" s="285"/>
      <c r="N315" s="329"/>
      <c r="O315" s="151">
        <v>-0.2</v>
      </c>
      <c r="P315" s="152">
        <v>0.2</v>
      </c>
      <c r="Q315" s="28"/>
      <c r="R315" s="28"/>
      <c r="S315" s="139"/>
      <c r="T315" s="139"/>
      <c r="U315" s="139"/>
      <c r="V315" s="139"/>
      <c r="W315" s="139"/>
      <c r="X315" s="28"/>
      <c r="Y315" s="28"/>
      <c r="Z315" s="28"/>
      <c r="AA315" s="28"/>
      <c r="AB315" s="31"/>
      <c r="AC315" s="31"/>
      <c r="AD315" s="12"/>
    </row>
    <row r="316" spans="1:30" s="11" customFormat="1" outlineLevel="1" x14ac:dyDescent="0.3">
      <c r="A316" s="93"/>
      <c r="B316" s="10"/>
      <c r="C316" s="80"/>
      <c r="D316" s="80"/>
      <c r="E316" s="80"/>
      <c r="F316" s="78"/>
      <c r="G316" s="28"/>
      <c r="H316" s="28"/>
      <c r="I316" s="28"/>
      <c r="J316" s="28"/>
      <c r="K316" s="28"/>
      <c r="L316" s="28"/>
      <c r="M316" s="285"/>
      <c r="N316" s="329"/>
      <c r="O316" s="31"/>
      <c r="P316" s="28"/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8"/>
      <c r="AB316" s="31"/>
      <c r="AC316" s="31"/>
      <c r="AD316" s="12"/>
    </row>
    <row r="317" spans="1:30" s="11" customFormat="1" outlineLevel="1" x14ac:dyDescent="0.3">
      <c r="A317" s="93"/>
      <c r="B317" s="10"/>
      <c r="C317" s="80"/>
      <c r="D317" s="80"/>
      <c r="E317" s="80"/>
      <c r="F317" s="78"/>
      <c r="G317" s="28"/>
      <c r="H317" s="28"/>
      <c r="I317" s="28"/>
      <c r="J317" s="28"/>
      <c r="K317" s="28"/>
      <c r="L317" s="28"/>
      <c r="M317" s="285"/>
      <c r="N317" s="161" t="s">
        <v>454</v>
      </c>
      <c r="O317" s="139"/>
      <c r="P317" s="162" t="s">
        <v>96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8"/>
      <c r="AB317" s="31"/>
      <c r="AC317" s="31"/>
      <c r="AD317" s="12"/>
    </row>
    <row r="318" spans="1:30" s="11" customFormat="1" outlineLevel="1" x14ac:dyDescent="0.3">
      <c r="A318" s="93"/>
      <c r="B318" s="10"/>
      <c r="C318" s="80"/>
      <c r="D318" s="80"/>
      <c r="E318" s="80"/>
      <c r="F318" s="78"/>
      <c r="G318" s="28"/>
      <c r="H318" s="28"/>
      <c r="I318" s="28"/>
      <c r="J318" s="28"/>
      <c r="K318" s="28"/>
      <c r="L318" s="28"/>
      <c r="M318" s="285"/>
      <c r="N318" s="263" t="s">
        <v>156</v>
      </c>
      <c r="O318" s="28"/>
      <c r="P318" s="160" t="s">
        <v>78</v>
      </c>
      <c r="Q318" s="141" t="s">
        <v>193</v>
      </c>
      <c r="R318" s="28"/>
      <c r="S318" s="28"/>
      <c r="T318" s="28"/>
      <c r="U318" s="28"/>
      <c r="V318" s="28"/>
      <c r="W318" s="28"/>
      <c r="X318" s="28"/>
      <c r="Y318" s="28"/>
      <c r="Z318" s="28"/>
      <c r="AA318" s="28"/>
      <c r="AB318" s="28"/>
      <c r="AC318" s="31"/>
      <c r="AD318" s="12"/>
    </row>
    <row r="319" spans="1:30" s="11" customFormat="1" outlineLevel="1" x14ac:dyDescent="0.3">
      <c r="A319" s="93"/>
      <c r="B319" s="10"/>
      <c r="C319" s="80"/>
      <c r="D319" s="80"/>
      <c r="E319" s="80"/>
      <c r="F319" s="78"/>
      <c r="G319" s="28"/>
      <c r="H319" s="28"/>
      <c r="I319" s="28"/>
      <c r="J319" s="28"/>
      <c r="K319" s="28"/>
      <c r="L319" s="28"/>
      <c r="M319" s="285"/>
      <c r="N319" s="263" t="s">
        <v>169</v>
      </c>
      <c r="O319" s="28"/>
      <c r="P319" s="160" t="s">
        <v>97</v>
      </c>
      <c r="Q319" s="141" t="s">
        <v>192</v>
      </c>
      <c r="R319" s="28"/>
      <c r="S319" s="28"/>
      <c r="T319" s="28"/>
      <c r="U319" s="28"/>
      <c r="V319" s="28"/>
      <c r="W319" s="28"/>
      <c r="X319" s="28"/>
      <c r="Y319" s="28"/>
      <c r="Z319" s="28"/>
      <c r="AA319" s="28"/>
      <c r="AB319" s="28"/>
      <c r="AC319" s="31"/>
      <c r="AD319" s="12"/>
    </row>
    <row r="320" spans="1:30" s="11" customFormat="1" outlineLevel="1" x14ac:dyDescent="0.3">
      <c r="A320" s="93"/>
      <c r="B320" s="10"/>
      <c r="C320" s="80"/>
      <c r="D320" s="80"/>
      <c r="E320" s="80"/>
      <c r="F320" s="78"/>
      <c r="G320" s="28"/>
      <c r="H320" s="28"/>
      <c r="I320" s="28"/>
      <c r="J320" s="28"/>
      <c r="K320" s="28"/>
      <c r="L320" s="28"/>
      <c r="M320" s="285"/>
      <c r="N320" s="263" t="s">
        <v>170</v>
      </c>
      <c r="O320" s="28"/>
      <c r="P320" s="28"/>
      <c r="Q320" s="28"/>
      <c r="R320" s="28"/>
      <c r="S320" s="28"/>
      <c r="T320" s="28"/>
      <c r="U320" s="160"/>
      <c r="V320" s="28"/>
      <c r="W320" s="28"/>
      <c r="X320" s="28"/>
      <c r="Y320" s="28"/>
      <c r="Z320" s="28"/>
      <c r="AA320" s="28"/>
      <c r="AB320" s="28"/>
      <c r="AC320" s="31"/>
      <c r="AD320" s="12"/>
    </row>
    <row r="321" spans="1:30" s="11" customFormat="1" ht="15" customHeight="1" outlineLevel="1" x14ac:dyDescent="0.3">
      <c r="A321" s="93"/>
      <c r="B321" s="10"/>
      <c r="C321" s="80"/>
      <c r="D321" s="80"/>
      <c r="E321" s="80"/>
      <c r="F321" s="78"/>
      <c r="G321" s="28"/>
      <c r="H321" s="28"/>
      <c r="I321" s="28"/>
      <c r="J321" s="28"/>
      <c r="K321" s="28"/>
      <c r="L321" s="28"/>
      <c r="M321" s="285"/>
      <c r="N321" s="263" t="s">
        <v>171</v>
      </c>
      <c r="O321" s="28"/>
      <c r="P321" s="28"/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8"/>
      <c r="AB321" s="28"/>
      <c r="AC321" s="31"/>
      <c r="AD321" s="12"/>
    </row>
    <row r="322" spans="1:30" s="11" customFormat="1" outlineLevel="1" x14ac:dyDescent="0.3">
      <c r="A322" s="93"/>
      <c r="B322" s="10"/>
      <c r="C322" s="80"/>
      <c r="D322" s="80"/>
      <c r="E322" s="80"/>
      <c r="F322" s="78"/>
      <c r="G322" s="28"/>
      <c r="H322" s="28"/>
      <c r="I322" s="28"/>
      <c r="J322" s="28"/>
      <c r="K322" s="28"/>
      <c r="L322" s="28"/>
      <c r="M322" s="285"/>
      <c r="N322" s="263" t="s">
        <v>172</v>
      </c>
      <c r="O322" s="28"/>
      <c r="P322" s="28"/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8"/>
      <c r="AB322" s="28"/>
      <c r="AC322" s="31"/>
      <c r="AD322" s="12"/>
    </row>
    <row r="323" spans="1:30" s="11" customFormat="1" outlineLevel="1" x14ac:dyDescent="0.3">
      <c r="A323" s="93"/>
      <c r="B323" s="10"/>
      <c r="C323" s="80"/>
      <c r="D323" s="80"/>
      <c r="E323" s="80"/>
      <c r="F323" s="78"/>
      <c r="G323" s="28"/>
      <c r="H323" s="28"/>
      <c r="I323" s="28"/>
      <c r="J323" s="28"/>
      <c r="K323" s="28"/>
      <c r="L323" s="28"/>
      <c r="M323" s="285"/>
      <c r="N323" s="263" t="s">
        <v>173</v>
      </c>
      <c r="O323" s="28"/>
      <c r="P323" s="28"/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8"/>
      <c r="AB323" s="28"/>
      <c r="AC323" s="31"/>
      <c r="AD323" s="12"/>
    </row>
    <row r="324" spans="1:30" s="11" customFormat="1" outlineLevel="1" x14ac:dyDescent="0.3">
      <c r="A324" s="93"/>
      <c r="B324" s="10"/>
      <c r="C324" s="80"/>
      <c r="D324" s="80"/>
      <c r="E324" s="80"/>
      <c r="F324" s="78"/>
      <c r="G324" s="28"/>
      <c r="H324" s="28"/>
      <c r="I324" s="28"/>
      <c r="J324" s="28"/>
      <c r="K324" s="28"/>
      <c r="L324" s="28"/>
      <c r="M324" s="285"/>
      <c r="N324" s="263" t="s">
        <v>174</v>
      </c>
      <c r="O324" s="28"/>
      <c r="P324" s="28"/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8"/>
      <c r="AB324" s="28"/>
      <c r="AC324" s="31"/>
      <c r="AD324" s="12"/>
    </row>
    <row r="325" spans="1:30" s="11" customFormat="1" outlineLevel="1" x14ac:dyDescent="0.3">
      <c r="A325" s="93"/>
      <c r="B325" s="10"/>
      <c r="C325" s="80"/>
      <c r="D325" s="80"/>
      <c r="E325" s="80"/>
      <c r="F325" s="78"/>
      <c r="G325" s="28"/>
      <c r="H325" s="28"/>
      <c r="I325" s="28"/>
      <c r="J325" s="28"/>
      <c r="K325" s="28"/>
      <c r="L325" s="28"/>
      <c r="M325" s="285"/>
      <c r="N325" s="263" t="s">
        <v>155</v>
      </c>
      <c r="O325" s="31"/>
      <c r="P325" s="141"/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8"/>
      <c r="AB325" s="28"/>
      <c r="AC325" s="31"/>
      <c r="AD325" s="12"/>
    </row>
    <row r="326" spans="1:30" s="11" customFormat="1" outlineLevel="1" x14ac:dyDescent="0.3">
      <c r="A326" s="93"/>
      <c r="B326" s="10"/>
      <c r="C326" s="80"/>
      <c r="D326" s="80"/>
      <c r="E326" s="80"/>
      <c r="F326" s="78"/>
      <c r="G326" s="28"/>
      <c r="H326" s="28"/>
      <c r="I326" s="28"/>
      <c r="J326" s="28"/>
      <c r="K326" s="28"/>
      <c r="L326" s="28"/>
      <c r="M326" s="285"/>
      <c r="N326" s="263" t="s">
        <v>158</v>
      </c>
      <c r="O326" s="31"/>
      <c r="P326" s="28"/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8"/>
      <c r="AB326" s="28"/>
      <c r="AC326" s="31"/>
      <c r="AD326" s="12"/>
    </row>
    <row r="327" spans="1:30" s="11" customFormat="1" outlineLevel="1" x14ac:dyDescent="0.3">
      <c r="A327" s="93"/>
      <c r="B327" s="10"/>
      <c r="C327" s="80"/>
      <c r="D327" s="80"/>
      <c r="E327" s="80"/>
      <c r="F327" s="78"/>
      <c r="G327" s="28"/>
      <c r="H327" s="28"/>
      <c r="I327" s="28"/>
      <c r="J327" s="28"/>
      <c r="K327" s="28"/>
      <c r="L327" s="28"/>
      <c r="M327" s="285"/>
      <c r="N327" s="263" t="s">
        <v>160</v>
      </c>
      <c r="O327" s="31"/>
      <c r="P327" s="28"/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8"/>
      <c r="AB327" s="28"/>
      <c r="AC327" s="31"/>
      <c r="AD327" s="12"/>
    </row>
    <row r="328" spans="1:30" s="11" customFormat="1" outlineLevel="1" x14ac:dyDescent="0.3">
      <c r="A328" s="93"/>
      <c r="B328" s="10"/>
      <c r="C328" s="80"/>
      <c r="D328" s="80"/>
      <c r="E328" s="80"/>
      <c r="F328" s="78"/>
      <c r="G328" s="28"/>
      <c r="H328" s="28"/>
      <c r="I328" s="28"/>
      <c r="J328" s="28"/>
      <c r="K328" s="28"/>
      <c r="L328" s="28"/>
      <c r="M328" s="285"/>
      <c r="N328" s="263" t="s">
        <v>159</v>
      </c>
      <c r="O328" s="31"/>
      <c r="P328" s="28"/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8"/>
      <c r="AB328" s="28"/>
      <c r="AC328" s="31"/>
      <c r="AD328" s="12"/>
    </row>
    <row r="329" spans="1:30" s="11" customFormat="1" outlineLevel="1" x14ac:dyDescent="0.3">
      <c r="A329" s="93"/>
      <c r="B329" s="10"/>
      <c r="C329" s="80"/>
      <c r="D329" s="80"/>
      <c r="E329" s="80"/>
      <c r="F329" s="78"/>
      <c r="G329" s="28"/>
      <c r="H329" s="28"/>
      <c r="I329" s="28"/>
      <c r="J329" s="28"/>
      <c r="K329" s="28"/>
      <c r="L329" s="28"/>
      <c r="M329" s="285"/>
      <c r="N329" s="263" t="s">
        <v>161</v>
      </c>
      <c r="O329" s="31"/>
      <c r="P329" s="28"/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8"/>
      <c r="AB329" s="28"/>
      <c r="AC329" s="31"/>
      <c r="AD329" s="12"/>
    </row>
    <row r="330" spans="1:30" s="11" customFormat="1" outlineLevel="1" x14ac:dyDescent="0.3">
      <c r="A330" s="93"/>
      <c r="B330" s="10"/>
      <c r="C330" s="80"/>
      <c r="D330" s="80"/>
      <c r="E330" s="80"/>
      <c r="F330" s="78"/>
      <c r="G330" s="28"/>
      <c r="H330" s="28"/>
      <c r="I330" s="28"/>
      <c r="J330" s="28"/>
      <c r="K330" s="28"/>
      <c r="L330" s="28"/>
      <c r="M330" s="285"/>
      <c r="N330" s="263" t="s">
        <v>162</v>
      </c>
      <c r="O330" s="31"/>
      <c r="P330" s="28"/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8"/>
      <c r="AB330" s="28"/>
      <c r="AC330" s="31"/>
      <c r="AD330" s="12"/>
    </row>
    <row r="331" spans="1:30" s="11" customFormat="1" outlineLevel="1" x14ac:dyDescent="0.3">
      <c r="A331" s="93"/>
      <c r="B331" s="10"/>
      <c r="C331" s="80"/>
      <c r="D331" s="80"/>
      <c r="E331" s="80"/>
      <c r="F331" s="78"/>
      <c r="G331" s="28"/>
      <c r="H331" s="28"/>
      <c r="I331" s="28"/>
      <c r="J331" s="28"/>
      <c r="K331" s="28"/>
      <c r="L331" s="28"/>
      <c r="M331" s="285"/>
      <c r="N331" s="263" t="s">
        <v>163</v>
      </c>
      <c r="O331" s="31"/>
      <c r="P331" s="28"/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8"/>
      <c r="AB331" s="28"/>
      <c r="AC331" s="31"/>
      <c r="AD331" s="12"/>
    </row>
    <row r="332" spans="1:30" s="11" customFormat="1" outlineLevel="1" x14ac:dyDescent="0.3">
      <c r="A332" s="93"/>
      <c r="B332" s="10"/>
      <c r="C332" s="80"/>
      <c r="D332" s="80"/>
      <c r="E332" s="80"/>
      <c r="F332" s="78"/>
      <c r="G332" s="28"/>
      <c r="H332" s="28"/>
      <c r="I332" s="28"/>
      <c r="J332" s="28"/>
      <c r="K332" s="28"/>
      <c r="L332" s="28"/>
      <c r="M332" s="285"/>
      <c r="N332" s="263" t="s">
        <v>157</v>
      </c>
      <c r="O332" s="31"/>
      <c r="P332" s="28"/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8"/>
      <c r="AB332" s="28"/>
      <c r="AC332" s="31"/>
      <c r="AD332" s="12"/>
    </row>
    <row r="333" spans="1:30" s="11" customFormat="1" outlineLevel="1" x14ac:dyDescent="0.3">
      <c r="A333" s="93"/>
      <c r="B333" s="10"/>
      <c r="C333" s="80"/>
      <c r="D333" s="80"/>
      <c r="E333" s="80"/>
      <c r="F333" s="78"/>
      <c r="G333" s="28"/>
      <c r="H333" s="28"/>
      <c r="I333" s="28"/>
      <c r="J333" s="28"/>
      <c r="K333" s="28"/>
      <c r="L333" s="28"/>
      <c r="M333" s="285"/>
      <c r="N333" s="263" t="s">
        <v>164</v>
      </c>
      <c r="O333" s="31"/>
      <c r="P333" s="28"/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8"/>
      <c r="AB333" s="28"/>
      <c r="AC333" s="31"/>
      <c r="AD333" s="12"/>
    </row>
    <row r="334" spans="1:30" s="11" customFormat="1" outlineLevel="1" x14ac:dyDescent="0.3">
      <c r="A334" s="93"/>
      <c r="B334" s="10"/>
      <c r="C334" s="80"/>
      <c r="D334" s="80"/>
      <c r="E334" s="80"/>
      <c r="F334" s="78"/>
      <c r="G334" s="28"/>
      <c r="H334" s="28"/>
      <c r="I334" s="28"/>
      <c r="J334" s="28"/>
      <c r="K334" s="28"/>
      <c r="L334" s="28"/>
      <c r="M334" s="285"/>
      <c r="N334" s="263" t="s">
        <v>165</v>
      </c>
      <c r="O334" s="31"/>
      <c r="P334" s="28"/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8"/>
      <c r="AB334" s="28"/>
      <c r="AC334" s="31"/>
      <c r="AD334" s="12"/>
    </row>
    <row r="335" spans="1:30" s="11" customFormat="1" outlineLevel="1" x14ac:dyDescent="0.3">
      <c r="A335" s="93"/>
      <c r="B335" s="10"/>
      <c r="C335" s="80"/>
      <c r="D335" s="80"/>
      <c r="E335" s="80"/>
      <c r="F335" s="78"/>
      <c r="G335" s="28"/>
      <c r="H335" s="28"/>
      <c r="I335" s="28"/>
      <c r="J335" s="28"/>
      <c r="K335" s="28"/>
      <c r="L335" s="28"/>
      <c r="M335" s="285"/>
      <c r="N335" s="263" t="s">
        <v>166</v>
      </c>
      <c r="O335" s="31"/>
      <c r="P335" s="28"/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8"/>
      <c r="AB335" s="28"/>
      <c r="AC335" s="31"/>
      <c r="AD335" s="12"/>
    </row>
    <row r="336" spans="1:30" s="11" customFormat="1" outlineLevel="1" x14ac:dyDescent="0.3">
      <c r="A336" s="93"/>
      <c r="B336" s="10"/>
      <c r="C336" s="80"/>
      <c r="D336" s="80"/>
      <c r="E336" s="80"/>
      <c r="F336" s="78"/>
      <c r="G336" s="28"/>
      <c r="H336" s="28"/>
      <c r="I336" s="28"/>
      <c r="J336" s="28"/>
      <c r="K336" s="28"/>
      <c r="L336" s="28"/>
      <c r="M336" s="285"/>
      <c r="N336" s="263" t="s">
        <v>167</v>
      </c>
      <c r="O336" s="31"/>
      <c r="P336" s="28"/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8"/>
      <c r="AB336" s="28"/>
      <c r="AC336" s="31"/>
      <c r="AD336" s="12"/>
    </row>
    <row r="337" spans="1:30" s="11" customFormat="1" outlineLevel="1" x14ac:dyDescent="0.3">
      <c r="A337" s="93"/>
      <c r="B337" s="10"/>
      <c r="C337" s="80"/>
      <c r="D337" s="80"/>
      <c r="E337" s="80"/>
      <c r="F337" s="78"/>
      <c r="G337" s="28"/>
      <c r="H337" s="28"/>
      <c r="I337" s="28"/>
      <c r="J337" s="28"/>
      <c r="K337" s="28"/>
      <c r="L337" s="28"/>
      <c r="M337" s="285"/>
      <c r="N337" s="263" t="s">
        <v>168</v>
      </c>
      <c r="O337" s="31"/>
      <c r="P337" s="28"/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8"/>
      <c r="AB337" s="28"/>
      <c r="AC337" s="31"/>
      <c r="AD337" s="12"/>
    </row>
    <row r="338" spans="1:30" s="11" customFormat="1" outlineLevel="1" x14ac:dyDescent="0.3">
      <c r="A338" s="93"/>
      <c r="B338" s="10"/>
      <c r="C338" s="80"/>
      <c r="D338" s="80"/>
      <c r="E338" s="80"/>
      <c r="F338" s="78"/>
      <c r="G338" s="28"/>
      <c r="H338" s="28"/>
      <c r="I338" s="28"/>
      <c r="J338" s="28"/>
      <c r="K338" s="28"/>
      <c r="L338" s="28"/>
      <c r="M338" s="285"/>
      <c r="N338" s="139"/>
      <c r="O338" s="31"/>
      <c r="P338" s="28"/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8"/>
      <c r="AB338" s="28"/>
      <c r="AC338" s="31"/>
      <c r="AD338" s="12"/>
    </row>
    <row r="339" spans="1:30" s="11" customFormat="1" ht="15" customHeight="1" outlineLevel="1" x14ac:dyDescent="0.3">
      <c r="A339" s="93"/>
      <c r="B339" s="10"/>
      <c r="C339" s="80"/>
      <c r="D339" s="80"/>
      <c r="E339" s="80"/>
      <c r="F339" s="78"/>
      <c r="G339" s="28"/>
      <c r="H339" s="28"/>
      <c r="I339" s="28"/>
      <c r="J339" s="28"/>
      <c r="K339" s="28"/>
      <c r="L339" s="28"/>
      <c r="M339" s="285"/>
      <c r="N339" s="165" t="s">
        <v>77</v>
      </c>
      <c r="O339" s="165" t="s">
        <v>144</v>
      </c>
      <c r="P339" s="28"/>
      <c r="Q339" s="186"/>
      <c r="R339" s="186"/>
      <c r="S339" s="28"/>
      <c r="T339" s="28"/>
      <c r="U339" s="28"/>
      <c r="V339" s="28"/>
      <c r="W339" s="28"/>
      <c r="X339" s="28"/>
      <c r="Y339" s="28"/>
      <c r="Z339" s="28"/>
      <c r="AA339" s="28"/>
      <c r="AB339" s="31"/>
      <c r="AC339" s="31"/>
      <c r="AD339" s="12"/>
    </row>
    <row r="340" spans="1:30" s="11" customFormat="1" ht="15" customHeight="1" outlineLevel="1" x14ac:dyDescent="0.3">
      <c r="A340" s="93"/>
      <c r="B340" s="10"/>
      <c r="C340" s="80"/>
      <c r="D340" s="80"/>
      <c r="E340" s="80"/>
      <c r="F340" s="78"/>
      <c r="G340" s="28"/>
      <c r="H340" s="28"/>
      <c r="I340" s="28"/>
      <c r="J340" s="28"/>
      <c r="K340" s="28"/>
      <c r="L340" s="28"/>
      <c r="M340" s="285"/>
      <c r="N340" s="159" t="s">
        <v>65</v>
      </c>
      <c r="O340" s="164">
        <v>0.5</v>
      </c>
      <c r="P340" s="330" t="s">
        <v>140</v>
      </c>
      <c r="Q340" s="330"/>
      <c r="R340" s="330"/>
      <c r="S340" s="28"/>
      <c r="T340" s="28"/>
      <c r="U340" s="28"/>
      <c r="V340" s="28"/>
      <c r="W340" s="28"/>
      <c r="X340" s="28"/>
      <c r="Y340" s="28"/>
      <c r="Z340" s="28"/>
      <c r="AA340" s="28"/>
      <c r="AB340" s="31"/>
      <c r="AC340" s="31"/>
      <c r="AD340" s="12"/>
    </row>
    <row r="341" spans="1:30" s="11" customFormat="1" outlineLevel="1" x14ac:dyDescent="0.3">
      <c r="A341" s="93"/>
      <c r="B341" s="10"/>
      <c r="C341" s="80"/>
      <c r="D341" s="80"/>
      <c r="E341" s="80"/>
      <c r="F341" s="78"/>
      <c r="G341" s="28"/>
      <c r="H341" s="28"/>
      <c r="I341" s="28"/>
      <c r="J341" s="28"/>
      <c r="K341" s="28"/>
      <c r="L341" s="28"/>
      <c r="M341" s="285"/>
      <c r="N341" s="159" t="s">
        <v>66</v>
      </c>
      <c r="O341" s="164">
        <v>0.25</v>
      </c>
      <c r="P341" s="330"/>
      <c r="Q341" s="330"/>
      <c r="R341" s="330"/>
      <c r="S341" s="28"/>
      <c r="T341" s="28"/>
      <c r="U341" s="28"/>
      <c r="V341" s="28"/>
      <c r="W341" s="28"/>
      <c r="X341" s="28"/>
      <c r="Y341" s="28"/>
      <c r="Z341" s="28"/>
      <c r="AA341" s="28"/>
      <c r="AB341" s="31"/>
      <c r="AC341" s="31"/>
      <c r="AD341" s="12"/>
    </row>
    <row r="342" spans="1:30" s="11" customFormat="1" outlineLevel="1" x14ac:dyDescent="0.3">
      <c r="A342" s="93"/>
      <c r="B342" s="10"/>
      <c r="C342" s="80"/>
      <c r="D342" s="80"/>
      <c r="E342" s="80"/>
      <c r="F342" s="78"/>
      <c r="G342" s="28"/>
      <c r="H342" s="28"/>
      <c r="I342" s="28"/>
      <c r="J342" s="28"/>
      <c r="K342" s="28"/>
      <c r="L342" s="28"/>
      <c r="M342" s="285"/>
      <c r="N342" s="31"/>
      <c r="O342" s="31"/>
      <c r="P342" s="330"/>
      <c r="Q342" s="330"/>
      <c r="R342" s="330"/>
      <c r="S342" s="28"/>
      <c r="T342" s="28"/>
      <c r="U342" s="28"/>
      <c r="V342" s="28"/>
      <c r="W342" s="28"/>
      <c r="X342" s="28"/>
      <c r="Y342" s="28"/>
      <c r="Z342" s="28"/>
      <c r="AA342" s="28"/>
      <c r="AB342" s="31"/>
      <c r="AC342" s="31"/>
      <c r="AD342" s="12"/>
    </row>
    <row r="343" spans="1:30" s="11" customFormat="1" outlineLevel="1" x14ac:dyDescent="0.3">
      <c r="A343" s="93"/>
      <c r="B343" s="10"/>
      <c r="C343" s="80"/>
      <c r="D343" s="80"/>
      <c r="E343" s="80"/>
      <c r="F343" s="78"/>
      <c r="G343" s="28"/>
      <c r="H343" s="28"/>
      <c r="I343" s="28"/>
      <c r="J343" s="28"/>
      <c r="K343" s="28"/>
      <c r="L343" s="28"/>
      <c r="M343" s="285"/>
      <c r="N343" s="31"/>
      <c r="O343" s="31"/>
      <c r="P343" s="330"/>
      <c r="Q343" s="330"/>
      <c r="R343" s="330"/>
      <c r="S343" s="28"/>
      <c r="T343" s="28"/>
      <c r="U343" s="28"/>
      <c r="V343" s="28"/>
      <c r="W343" s="28"/>
      <c r="X343" s="28"/>
      <c r="Y343" s="28"/>
      <c r="Z343" s="28"/>
      <c r="AA343" s="28"/>
      <c r="AB343" s="31"/>
      <c r="AC343" s="31"/>
      <c r="AD343" s="12"/>
    </row>
    <row r="344" spans="1:30" s="11" customFormat="1" outlineLevel="1" x14ac:dyDescent="0.3">
      <c r="A344" s="93"/>
      <c r="B344" s="10"/>
      <c r="C344" s="80"/>
      <c r="D344" s="80"/>
      <c r="E344" s="80"/>
      <c r="F344" s="78"/>
      <c r="G344" s="28"/>
      <c r="H344" s="28"/>
      <c r="I344" s="28"/>
      <c r="J344" s="28"/>
      <c r="K344" s="28"/>
      <c r="L344" s="28"/>
      <c r="M344" s="285"/>
      <c r="N344" s="161" t="s">
        <v>133</v>
      </c>
      <c r="O344" s="165" t="s">
        <v>144</v>
      </c>
      <c r="P344" s="28"/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8"/>
      <c r="AB344" s="31"/>
      <c r="AC344" s="31"/>
      <c r="AD344" s="12"/>
    </row>
    <row r="345" spans="1:30" s="11" customFormat="1" outlineLevel="1" x14ac:dyDescent="0.3">
      <c r="A345" s="93"/>
      <c r="B345" s="10"/>
      <c r="C345" s="80"/>
      <c r="D345" s="80"/>
      <c r="E345" s="80"/>
      <c r="F345" s="78"/>
      <c r="G345" s="28"/>
      <c r="H345" s="28"/>
      <c r="I345" s="28"/>
      <c r="J345" s="28"/>
      <c r="K345" s="28"/>
      <c r="L345" s="28"/>
      <c r="M345" s="285"/>
      <c r="N345" s="271" t="s">
        <v>23</v>
      </c>
      <c r="O345" s="272">
        <v>0</v>
      </c>
      <c r="P345" s="330" t="s">
        <v>141</v>
      </c>
      <c r="Q345" s="330"/>
      <c r="R345" s="28"/>
      <c r="S345" s="28"/>
      <c r="T345" s="28"/>
      <c r="U345" s="28"/>
      <c r="V345" s="28"/>
      <c r="W345" s="28"/>
      <c r="X345" s="28"/>
      <c r="Y345" s="28"/>
      <c r="Z345" s="28"/>
      <c r="AA345" s="28"/>
      <c r="AB345" s="31"/>
      <c r="AC345" s="31"/>
      <c r="AD345" s="12"/>
    </row>
    <row r="346" spans="1:30" s="11" customFormat="1" ht="15" customHeight="1" outlineLevel="1" x14ac:dyDescent="0.3">
      <c r="A346" s="93"/>
      <c r="B346" s="10"/>
      <c r="C346" s="80"/>
      <c r="D346" s="80"/>
      <c r="E346" s="80"/>
      <c r="F346" s="78"/>
      <c r="G346" s="28"/>
      <c r="H346" s="28"/>
      <c r="I346" s="28"/>
      <c r="J346" s="28"/>
      <c r="K346" s="28"/>
      <c r="L346" s="28"/>
      <c r="M346" s="285"/>
      <c r="N346" s="271" t="s">
        <v>134</v>
      </c>
      <c r="O346" s="272">
        <v>0.25</v>
      </c>
      <c r="P346" s="330"/>
      <c r="Q346" s="330"/>
      <c r="R346" s="28"/>
      <c r="S346" s="28"/>
      <c r="T346" s="28"/>
      <c r="U346" s="28"/>
      <c r="V346" s="28"/>
      <c r="W346" s="28"/>
      <c r="X346" s="28"/>
      <c r="Y346" s="28"/>
      <c r="Z346" s="28"/>
      <c r="AA346" s="28"/>
      <c r="AB346" s="31"/>
      <c r="AC346" s="31"/>
      <c r="AD346" s="12"/>
    </row>
    <row r="347" spans="1:30" s="11" customFormat="1" outlineLevel="1" x14ac:dyDescent="0.3">
      <c r="A347" s="93"/>
      <c r="B347" s="10"/>
      <c r="C347" s="80"/>
      <c r="D347" s="80"/>
      <c r="E347" s="80"/>
      <c r="F347" s="78"/>
      <c r="G347" s="28"/>
      <c r="H347" s="28"/>
      <c r="I347" s="28"/>
      <c r="J347" s="28"/>
      <c r="K347" s="28"/>
      <c r="L347" s="28"/>
      <c r="M347" s="285"/>
      <c r="N347" s="271" t="s">
        <v>135</v>
      </c>
      <c r="O347" s="273">
        <v>0.1</v>
      </c>
      <c r="P347" s="28"/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8"/>
      <c r="AB347" s="31"/>
      <c r="AC347" s="31"/>
      <c r="AD347" s="12"/>
    </row>
    <row r="348" spans="1:30" s="11" customFormat="1" outlineLevel="1" x14ac:dyDescent="0.3">
      <c r="A348" s="93"/>
      <c r="B348" s="10"/>
      <c r="C348" s="80"/>
      <c r="D348" s="80"/>
      <c r="E348" s="80"/>
      <c r="F348" s="78"/>
      <c r="G348" s="28"/>
      <c r="H348" s="28"/>
      <c r="I348" s="28"/>
      <c r="J348" s="28"/>
      <c r="K348" s="28"/>
      <c r="L348" s="28"/>
      <c r="M348" s="285"/>
      <c r="N348" s="271" t="s">
        <v>136</v>
      </c>
      <c r="O348" s="273">
        <v>0</v>
      </c>
      <c r="P348" s="28"/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8"/>
      <c r="AB348" s="31"/>
      <c r="AC348" s="31"/>
      <c r="AD348" s="12"/>
    </row>
    <row r="349" spans="1:30" s="11" customFormat="1" outlineLevel="1" x14ac:dyDescent="0.3">
      <c r="A349" s="93"/>
      <c r="B349" s="10"/>
      <c r="C349" s="80"/>
      <c r="D349" s="80"/>
      <c r="E349" s="80"/>
      <c r="F349" s="78"/>
      <c r="G349" s="28"/>
      <c r="H349" s="28"/>
      <c r="I349" s="28"/>
      <c r="J349" s="28"/>
      <c r="K349" s="28"/>
      <c r="L349" s="28"/>
      <c r="M349" s="285"/>
      <c r="N349" s="271" t="s">
        <v>137</v>
      </c>
      <c r="O349" s="273">
        <v>0</v>
      </c>
      <c r="P349" s="28"/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8"/>
      <c r="AB349" s="31"/>
      <c r="AC349" s="31"/>
      <c r="AD349" s="12"/>
    </row>
    <row r="350" spans="1:30" s="11" customFormat="1" outlineLevel="1" x14ac:dyDescent="0.3">
      <c r="A350" s="93"/>
      <c r="B350" s="10"/>
      <c r="C350" s="80"/>
      <c r="D350" s="80"/>
      <c r="E350" s="80"/>
      <c r="F350" s="78"/>
      <c r="G350" s="28"/>
      <c r="H350" s="28"/>
      <c r="I350" s="28"/>
      <c r="J350" s="28"/>
      <c r="K350" s="28"/>
      <c r="L350" s="28"/>
      <c r="M350" s="285"/>
      <c r="N350" s="271" t="s">
        <v>138</v>
      </c>
      <c r="O350" s="273">
        <v>0</v>
      </c>
      <c r="P350" s="28"/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8"/>
      <c r="AB350" s="31"/>
      <c r="AC350" s="31"/>
      <c r="AD350" s="12"/>
    </row>
    <row r="351" spans="1:30" s="11" customFormat="1" outlineLevel="1" x14ac:dyDescent="0.3">
      <c r="A351" s="93"/>
      <c r="B351" s="10"/>
      <c r="C351" s="80"/>
      <c r="D351" s="80"/>
      <c r="E351" s="80"/>
      <c r="F351" s="78"/>
      <c r="G351" s="28"/>
      <c r="H351" s="28"/>
      <c r="I351" s="28"/>
      <c r="J351" s="28"/>
      <c r="K351" s="28"/>
      <c r="L351" s="28"/>
      <c r="M351" s="285"/>
      <c r="N351" s="31"/>
      <c r="O351" s="31"/>
      <c r="P351" s="28"/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8"/>
      <c r="AB351" s="31"/>
      <c r="AC351" s="31"/>
      <c r="AD351" s="12"/>
    </row>
    <row r="352" spans="1:30" s="11" customFormat="1" outlineLevel="1" x14ac:dyDescent="0.3">
      <c r="A352" s="93"/>
      <c r="B352" s="10"/>
      <c r="C352" s="80"/>
      <c r="D352" s="80"/>
      <c r="E352" s="80"/>
      <c r="F352" s="78"/>
      <c r="G352" s="28"/>
      <c r="H352" s="28"/>
      <c r="I352" s="28"/>
      <c r="J352" s="28"/>
      <c r="K352" s="28"/>
      <c r="L352" s="28"/>
      <c r="M352" s="285"/>
      <c r="N352" s="161" t="s">
        <v>142</v>
      </c>
      <c r="O352" s="165" t="s">
        <v>144</v>
      </c>
      <c r="P352" s="28"/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8"/>
      <c r="AB352" s="31"/>
      <c r="AC352" s="31"/>
      <c r="AD352" s="12"/>
    </row>
    <row r="353" spans="1:30" s="11" customFormat="1" ht="15" customHeight="1" outlineLevel="1" x14ac:dyDescent="0.3">
      <c r="A353" s="93"/>
      <c r="B353" s="10"/>
      <c r="C353" s="80"/>
      <c r="D353" s="80"/>
      <c r="E353" s="80"/>
      <c r="F353" s="78"/>
      <c r="G353" s="28"/>
      <c r="H353" s="28"/>
      <c r="I353" s="28"/>
      <c r="J353" s="28"/>
      <c r="K353" s="28"/>
      <c r="L353" s="28"/>
      <c r="M353" s="285"/>
      <c r="N353" s="158" t="str">
        <f>Lists!B46</f>
        <v>Low</v>
      </c>
      <c r="O353" s="164">
        <v>0.1</v>
      </c>
      <c r="P353" s="330" t="s">
        <v>143</v>
      </c>
      <c r="Q353" s="330"/>
      <c r="R353" s="28"/>
      <c r="S353" s="28"/>
      <c r="T353" s="28"/>
      <c r="U353" s="28"/>
      <c r="V353" s="28"/>
      <c r="W353" s="28"/>
      <c r="X353" s="28"/>
      <c r="Y353" s="28"/>
      <c r="Z353" s="28"/>
      <c r="AA353" s="28"/>
      <c r="AB353" s="31"/>
      <c r="AC353" s="31"/>
      <c r="AD353" s="12"/>
    </row>
    <row r="354" spans="1:30" s="11" customFormat="1" outlineLevel="1" x14ac:dyDescent="0.3">
      <c r="A354" s="93"/>
      <c r="B354" s="10"/>
      <c r="C354" s="80"/>
      <c r="D354" s="80"/>
      <c r="E354" s="80"/>
      <c r="F354" s="78"/>
      <c r="G354" s="28"/>
      <c r="H354" s="28"/>
      <c r="I354" s="28"/>
      <c r="J354" s="28"/>
      <c r="K354" s="28"/>
      <c r="L354" s="28"/>
      <c r="M354" s="285"/>
      <c r="N354" s="158" t="str">
        <f>Lists!B47</f>
        <v>Medium</v>
      </c>
      <c r="O354" s="164">
        <v>0.15</v>
      </c>
      <c r="P354" s="330"/>
      <c r="Q354" s="330"/>
      <c r="R354" s="28"/>
      <c r="S354" s="28"/>
      <c r="T354" s="28"/>
      <c r="U354" s="28"/>
      <c r="V354" s="28"/>
      <c r="W354" s="28"/>
      <c r="X354" s="28"/>
      <c r="Y354" s="28"/>
      <c r="Z354" s="28"/>
      <c r="AA354" s="28"/>
      <c r="AB354" s="31"/>
      <c r="AC354" s="31"/>
      <c r="AD354" s="12"/>
    </row>
    <row r="355" spans="1:30" s="11" customFormat="1" outlineLevel="1" x14ac:dyDescent="0.3">
      <c r="A355" s="93"/>
      <c r="B355" s="10"/>
      <c r="C355" s="80"/>
      <c r="D355" s="80"/>
      <c r="E355" s="80"/>
      <c r="F355" s="78"/>
      <c r="G355" s="28"/>
      <c r="H355" s="28"/>
      <c r="I355" s="28"/>
      <c r="J355" s="28"/>
      <c r="K355" s="28"/>
      <c r="L355" s="28"/>
      <c r="M355" s="285"/>
      <c r="N355" s="158" t="str">
        <f>Lists!B48</f>
        <v>High</v>
      </c>
      <c r="O355" s="164">
        <v>0.2</v>
      </c>
      <c r="P355" s="330"/>
      <c r="Q355" s="330"/>
      <c r="R355" s="28"/>
      <c r="S355" s="28"/>
      <c r="T355" s="28"/>
      <c r="U355" s="28"/>
      <c r="V355" s="28"/>
      <c r="W355" s="28"/>
      <c r="X355" s="28"/>
      <c r="Y355" s="28"/>
      <c r="Z355" s="28"/>
      <c r="AA355" s="28"/>
      <c r="AB355" s="31"/>
      <c r="AC355" s="31"/>
      <c r="AD355" s="12"/>
    </row>
    <row r="356" spans="1:30" s="11" customFormat="1" outlineLevel="1" x14ac:dyDescent="0.3">
      <c r="A356" s="93"/>
      <c r="B356" s="10"/>
      <c r="C356" s="80"/>
      <c r="D356" s="80"/>
      <c r="E356" s="80"/>
      <c r="F356" s="78"/>
      <c r="G356" s="28"/>
      <c r="H356" s="28"/>
      <c r="I356" s="28"/>
      <c r="J356" s="28"/>
      <c r="K356" s="28"/>
      <c r="L356" s="28"/>
      <c r="M356" s="285"/>
      <c r="N356" s="31"/>
      <c r="O356" s="31"/>
      <c r="P356" s="28"/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8"/>
      <c r="AB356" s="31"/>
      <c r="AC356" s="31"/>
      <c r="AD356" s="12"/>
    </row>
    <row r="357" spans="1:30" s="11" customFormat="1" ht="20.25" customHeight="1" outlineLevel="1" x14ac:dyDescent="0.3">
      <c r="A357" s="93"/>
      <c r="B357" s="10"/>
      <c r="C357" s="78"/>
      <c r="D357" s="78"/>
      <c r="E357" s="78"/>
      <c r="F357" s="78"/>
      <c r="G357" s="43"/>
      <c r="H357" s="43"/>
      <c r="I357" s="43"/>
      <c r="J357" s="43"/>
      <c r="K357" s="43"/>
      <c r="L357" s="43"/>
      <c r="M357" s="281"/>
      <c r="N357" s="43"/>
      <c r="O357" s="43"/>
      <c r="P357" s="43"/>
      <c r="Q357" s="43"/>
      <c r="R357" s="43"/>
      <c r="S357" s="43"/>
      <c r="T357" s="43"/>
      <c r="U357" s="43"/>
      <c r="V357" s="43"/>
      <c r="W357" s="43"/>
      <c r="X357" s="43"/>
      <c r="Y357" s="43"/>
      <c r="Z357" s="43"/>
      <c r="AA357" s="43"/>
      <c r="AB357" s="43"/>
      <c r="AC357" s="43"/>
      <c r="AD357" s="12"/>
    </row>
    <row r="358" spans="1:30" x14ac:dyDescent="0.3">
      <c r="F358" s="78"/>
    </row>
    <row r="422" spans="1:30" s="11" customFormat="1" ht="20.25" customHeight="1" x14ac:dyDescent="0.3">
      <c r="A422" s="93"/>
      <c r="B422" s="10"/>
      <c r="C422" s="78"/>
      <c r="D422" s="78"/>
      <c r="E422" s="78"/>
      <c r="F422" s="78"/>
      <c r="G422" s="305" t="s">
        <v>48</v>
      </c>
      <c r="H422" s="305"/>
      <c r="I422" s="178"/>
      <c r="J422" s="43"/>
      <c r="K422" s="43"/>
      <c r="L422" s="39"/>
      <c r="M422" s="289" t="s">
        <v>125</v>
      </c>
      <c r="N422" s="39"/>
      <c r="O422" s="39"/>
      <c r="P422" s="39"/>
      <c r="Q422" s="39"/>
      <c r="R422" s="39"/>
      <c r="S422" s="39"/>
      <c r="T422" s="39"/>
      <c r="U422" s="39"/>
      <c r="V422" s="39"/>
      <c r="W422" s="39"/>
      <c r="X422" s="39"/>
      <c r="Y422" s="39"/>
      <c r="Z422" s="39"/>
      <c r="AA422" s="39"/>
      <c r="AB422" s="39"/>
      <c r="AC422" s="39"/>
      <c r="AD422" s="12"/>
    </row>
    <row r="423" spans="1:30" hidden="1" x14ac:dyDescent="0.3"/>
    <row r="424" spans="1:30" s="17" customFormat="1" ht="18" hidden="1" collapsed="1" x14ac:dyDescent="0.3">
      <c r="A424" s="93" t="s">
        <v>98</v>
      </c>
      <c r="B424" s="21"/>
      <c r="C424" s="81"/>
      <c r="D424" s="81"/>
      <c r="E424" s="81"/>
      <c r="F424" s="82"/>
      <c r="G424" s="55"/>
      <c r="H424" s="55"/>
      <c r="I424" s="55"/>
      <c r="J424" s="55"/>
      <c r="K424" s="55"/>
      <c r="L424" s="55" t="s">
        <v>105</v>
      </c>
      <c r="M424" s="284" t="s">
        <v>106</v>
      </c>
      <c r="N424" s="56"/>
      <c r="O424" s="57"/>
      <c r="P424" s="58"/>
      <c r="Q424" s="58"/>
      <c r="R424" s="58"/>
      <c r="S424" s="331">
        <f>CEILING(SUMIFS(T425:T430, J425:J430, "&lt;&gt;Yes", A425:A430,"T1"),1)</f>
        <v>0</v>
      </c>
      <c r="T424" s="331"/>
      <c r="U424" s="58"/>
      <c r="V424" s="58"/>
      <c r="W424" s="58"/>
      <c r="X424" s="58"/>
      <c r="Y424" s="58"/>
      <c r="Z424" s="58"/>
      <c r="AA424" s="58"/>
      <c r="AB424" s="58"/>
      <c r="AC424" s="58"/>
      <c r="AD424" s="26" t="str">
        <f>IF(M424="", "Section name cannot be empty.", "")</f>
        <v/>
      </c>
    </row>
    <row r="425" spans="1:30" s="11" customFormat="1" ht="1.5" hidden="1" customHeight="1" outlineLevel="1" x14ac:dyDescent="0.3">
      <c r="A425" s="93" t="s">
        <v>99</v>
      </c>
      <c r="B425" s="18"/>
      <c r="C425" s="78"/>
      <c r="D425" s="78"/>
      <c r="E425" s="78"/>
      <c r="F425" s="78"/>
      <c r="G425" s="28"/>
      <c r="H425" s="28"/>
      <c r="I425" s="28"/>
      <c r="J425" s="28"/>
      <c r="K425" s="28"/>
      <c r="L425" s="29">
        <v>0</v>
      </c>
      <c r="M425" s="285"/>
      <c r="N425" s="28"/>
      <c r="O425" s="28"/>
      <c r="P425" s="28"/>
      <c r="Q425" s="28"/>
      <c r="R425" s="28"/>
      <c r="S425" s="28"/>
      <c r="T425" s="30"/>
      <c r="U425" s="28"/>
      <c r="V425" s="28"/>
      <c r="W425" s="28"/>
      <c r="X425" s="30"/>
      <c r="Y425" s="28"/>
      <c r="Z425" s="28"/>
      <c r="AA425" s="28"/>
      <c r="AB425" s="31"/>
      <c r="AC425" s="31"/>
      <c r="AD425" s="12"/>
    </row>
    <row r="426" spans="1:30" s="17" customFormat="1" ht="15.6" hidden="1" outlineLevel="1" x14ac:dyDescent="0.3">
      <c r="A426" s="93" t="s">
        <v>100</v>
      </c>
      <c r="B426" s="21"/>
      <c r="C426" s="84"/>
      <c r="D426" s="84"/>
      <c r="E426" s="84"/>
      <c r="F426" s="83"/>
      <c r="G426" s="32"/>
      <c r="H426" s="32"/>
      <c r="I426" s="32"/>
      <c r="J426" s="32"/>
      <c r="K426" s="32"/>
      <c r="L426" s="20">
        <f ca="1">LOOKUP(1000,INDIRECT("L1:"&amp;CELL("address",INDIRECT("R[-1]C",FALSE))))+1</f>
        <v>1</v>
      </c>
      <c r="M426" s="301" t="s">
        <v>108</v>
      </c>
      <c r="N426" s="301"/>
      <c r="O426" s="5"/>
      <c r="P426" s="33"/>
      <c r="Q426" s="33"/>
      <c r="R426" s="33"/>
      <c r="S426" s="33"/>
      <c r="T426" s="167">
        <f>IF($S$6="Exclude", SUMIFS(S427:S429, J427:J429, "&lt;&gt;Yes", G427:G429, "&lt;&gt;Yes"), SUMIFS(S427:S429, J427:J429, "&lt;&gt;Yes"))</f>
        <v>0</v>
      </c>
      <c r="U426" s="33"/>
      <c r="V426" s="33"/>
      <c r="W426" s="33"/>
      <c r="X426" s="34"/>
      <c r="Y426" s="35"/>
      <c r="Z426" s="35"/>
      <c r="AA426" s="35"/>
      <c r="AB426" s="240" t="s">
        <v>443</v>
      </c>
      <c r="AC426" s="36"/>
      <c r="AD426" s="26" t="str">
        <f>IF(M426="", "Error: Task name cannot be empty.", "")</f>
        <v/>
      </c>
    </row>
    <row r="427" spans="1:30" s="15" customFormat="1" ht="1.5" hidden="1" customHeight="1" outlineLevel="2" x14ac:dyDescent="0.3">
      <c r="A427" s="93" t="s">
        <v>101</v>
      </c>
      <c r="B427" s="21"/>
      <c r="C427" s="84"/>
      <c r="D427" s="84"/>
      <c r="E427" s="84"/>
      <c r="F427" s="83"/>
      <c r="G427" s="32"/>
      <c r="H427" s="32"/>
      <c r="I427" s="32"/>
      <c r="J427" s="32"/>
      <c r="K427" s="32"/>
      <c r="L427" s="175">
        <f ca="1">L426</f>
        <v>1</v>
      </c>
      <c r="M427" s="176" t="s">
        <v>105</v>
      </c>
      <c r="N427" s="173"/>
      <c r="O427" s="174"/>
      <c r="P427" s="33"/>
      <c r="Q427" s="33"/>
      <c r="R427" s="33"/>
      <c r="S427" s="33"/>
      <c r="T427" s="167"/>
      <c r="U427" s="33"/>
      <c r="V427" s="33"/>
      <c r="W427" s="33"/>
      <c r="X427" s="34"/>
      <c r="Y427" s="35"/>
      <c r="Z427" s="35"/>
      <c r="AA427" s="35"/>
      <c r="AB427" s="36"/>
      <c r="AC427" s="36"/>
      <c r="AD427" s="26"/>
    </row>
    <row r="428" spans="1:30" ht="57.6" hidden="1" outlineLevel="2" x14ac:dyDescent="0.3">
      <c r="A428" s="93" t="s">
        <v>0</v>
      </c>
      <c r="B428" s="21"/>
      <c r="C428" s="85"/>
      <c r="D428" s="85"/>
      <c r="E428" s="85"/>
      <c r="F428" s="86"/>
      <c r="G428" s="22" t="s">
        <v>23</v>
      </c>
      <c r="H428" s="22" t="s">
        <v>23</v>
      </c>
      <c r="I428" s="23" t="s">
        <v>23</v>
      </c>
      <c r="J428" s="22" t="s">
        <v>23</v>
      </c>
      <c r="K428" s="38"/>
      <c r="L428" s="22"/>
      <c r="M428" s="286" t="str">
        <f ca="1">IFERROR(OFFSET(M428,-1,,1,1)+0.1,OFFSET(M428,-1,-1,1,1)&amp;".1")</f>
        <v>1.1</v>
      </c>
      <c r="N428" s="23" t="s">
        <v>442</v>
      </c>
      <c r="O428" s="23"/>
      <c r="P428" s="23"/>
      <c r="Q428" s="144"/>
      <c r="R428" s="137"/>
      <c r="S428" s="169">
        <f>CEILING((IF(J428="Yes", 0, IF(H428="-",AA428,AA428+AA428*VLOOKUP(H428,BUFFERS_BY_TYPE,2,FALSE)))) +
   (IF(J428="Yes", 0, IF(H428="-",AA428,AA428+AA428*VLOOKUP(H428,BUFFERS_BY_TYPE,2,FALSE))))*VLOOKUP($S$5, SALES_CALL_SCALE_ARRAY, 2,FALSE),0.25)</f>
        <v>0</v>
      </c>
      <c r="T428" s="170"/>
      <c r="U428" s="24">
        <v>0</v>
      </c>
      <c r="V428" s="24">
        <v>1</v>
      </c>
      <c r="W428" s="24">
        <v>0</v>
      </c>
      <c r="X428" s="168"/>
      <c r="Y428" s="169">
        <f>CEILING((IF(P428=AS_DEV_EFFORT, DEV_EFFORT*Q428%,
                           IF(P428=AS_DURATION_EFFORT, (MANUAL_DURATION*5)*Q428%,
                                    (IF(Q428&lt;=1,X428,
                                          IF(SUM(U428:W428)=0,(Q428*X428),
                                               (((Q428*U428)*(X428+(X428*EXTRA_FOR_H)))+
                                               ((Q428*V428)*X428)+
                                               ((Q428*W428)*(X428-(X428*LESS_FOR_L)))
                                    )*IF(R428=0,1,R428))))))+Z428), 0.25)</f>
        <v>0</v>
      </c>
      <c r="Z428" s="25"/>
      <c r="AA428" s="169">
        <f>Y428+Y428*VLOOKUP(I428,EXTRAS_ARRAY,2,FALSE)</f>
        <v>0</v>
      </c>
      <c r="AB428" s="23" t="s">
        <v>445</v>
      </c>
      <c r="AC428" s="37"/>
      <c r="AD428" s="26" t="str">
        <f>IF(J428&lt;&gt;"Yes",
IF(S428&lt;=0,"Error: Effort value is not defined or is invalid.",
IF(AND(SUM(U428:W428)&gt;0,SUM(U428:W428)&lt;&gt;1),"Error: Complexity % distribution should sum to 100%.",
IF(AND(P428=AS_DEV_EFFORT,X428&lt;&gt;0),"Error: PDs should not be defined when defining as dev effort %.",
IF(AND(P428=AS_DURATION_EFFORT,X428&lt;&gt;0),"Error: PDs should not be defined when defining as duration effort %.","")))))</f>
        <v>Error: Effort value is not defined or is invalid.</v>
      </c>
    </row>
    <row r="429" spans="1:30" s="11" customFormat="1" ht="7.5" hidden="1" customHeight="1" outlineLevel="2" x14ac:dyDescent="0.3">
      <c r="A429" s="93" t="s">
        <v>132</v>
      </c>
      <c r="B429" s="18"/>
      <c r="C429" s="78"/>
      <c r="D429" s="78"/>
      <c r="E429" s="78"/>
      <c r="F429" s="78"/>
      <c r="G429" s="10"/>
      <c r="H429" s="10"/>
      <c r="I429" s="10"/>
      <c r="J429" s="10"/>
      <c r="K429" s="10"/>
      <c r="L429" s="10"/>
      <c r="M429" s="287"/>
      <c r="N429" s="10"/>
      <c r="O429" s="10"/>
      <c r="P429" s="10"/>
      <c r="Q429" s="10"/>
      <c r="R429" s="10"/>
      <c r="S429" s="10"/>
      <c r="T429" s="18"/>
      <c r="U429" s="10"/>
      <c r="V429" s="10"/>
      <c r="W429" s="10"/>
      <c r="X429" s="18"/>
      <c r="Y429" s="10"/>
      <c r="Z429" s="10"/>
      <c r="AA429" s="10"/>
      <c r="AB429" s="60"/>
      <c r="AC429" s="60"/>
      <c r="AD429" s="12"/>
    </row>
    <row r="430" spans="1:30" s="11" customFormat="1" ht="1.5" hidden="1" customHeight="1" outlineLevel="1" x14ac:dyDescent="0.3">
      <c r="A430" s="93" t="s">
        <v>102</v>
      </c>
      <c r="B430" s="10"/>
      <c r="C430" s="78"/>
      <c r="D430" s="78"/>
      <c r="E430" s="78"/>
      <c r="F430" s="78"/>
      <c r="G430" s="59"/>
      <c r="H430" s="59"/>
      <c r="I430" s="59"/>
      <c r="J430" s="59"/>
      <c r="K430" s="59"/>
      <c r="L430" s="61"/>
      <c r="M430" s="288"/>
      <c r="N430" s="62"/>
      <c r="O430" s="62"/>
      <c r="P430" s="61"/>
      <c r="Q430" s="61"/>
      <c r="R430" s="61"/>
      <c r="S430" s="61"/>
      <c r="T430" s="61"/>
      <c r="U430" s="61"/>
      <c r="V430" s="61"/>
      <c r="W430" s="61"/>
      <c r="X430" s="61"/>
      <c r="Y430" s="61"/>
      <c r="Z430" s="61"/>
      <c r="AA430" s="61"/>
      <c r="AB430" s="62"/>
      <c r="AC430" s="62"/>
      <c r="AD430" s="12"/>
    </row>
    <row r="431" spans="1:30" hidden="1" collapsed="1" x14ac:dyDescent="0.3"/>
    <row r="432" spans="1:30" s="17" customFormat="1" ht="15.6" hidden="1" outlineLevel="1" x14ac:dyDescent="0.3">
      <c r="A432" s="93" t="s">
        <v>107</v>
      </c>
      <c r="B432" s="21"/>
      <c r="C432" s="84"/>
      <c r="D432" s="84"/>
      <c r="E432" s="84"/>
      <c r="F432" s="83"/>
      <c r="G432" s="185"/>
      <c r="H432" s="185"/>
      <c r="I432" s="185"/>
      <c r="J432" s="185"/>
      <c r="K432" s="185"/>
      <c r="L432" s="92" t="s">
        <v>109</v>
      </c>
      <c r="M432" s="300" t="s">
        <v>124</v>
      </c>
      <c r="N432" s="300"/>
      <c r="O432" s="87"/>
      <c r="P432" s="88"/>
      <c r="Q432" s="88"/>
      <c r="R432" s="88"/>
      <c r="S432" s="298">
        <f>SUMGROUP(ROW(), "T")</f>
        <v>0</v>
      </c>
      <c r="T432" s="298"/>
      <c r="U432" s="299"/>
      <c r="V432" s="299"/>
      <c r="W432" s="299"/>
      <c r="X432" s="89"/>
      <c r="Y432" s="90"/>
      <c r="Z432" s="90"/>
      <c r="AA432" s="90"/>
      <c r="AB432" s="243"/>
      <c r="AC432" s="91"/>
      <c r="AD432" s="26" t="str">
        <f>IF(M432="", "Error: Module name cannot be empty.", "")</f>
        <v/>
      </c>
    </row>
    <row r="433" spans="1:30" hidden="1" x14ac:dyDescent="0.3"/>
    <row r="434" spans="1:30" s="11" customFormat="1" ht="20.25" customHeight="1" x14ac:dyDescent="0.3">
      <c r="A434" s="93"/>
      <c r="B434" s="10"/>
      <c r="C434" s="78"/>
      <c r="D434" s="78"/>
      <c r="E434" s="78"/>
      <c r="F434" s="78"/>
      <c r="G434" s="43"/>
      <c r="H434" s="43"/>
      <c r="I434" s="43"/>
      <c r="J434" s="43"/>
      <c r="K434" s="43"/>
      <c r="L434" s="43"/>
      <c r="M434" s="281"/>
      <c r="N434" s="43"/>
      <c r="O434" s="43"/>
      <c r="P434" s="43"/>
      <c r="Q434" s="43"/>
      <c r="R434" s="43"/>
      <c r="S434" s="43"/>
      <c r="T434" s="43"/>
      <c r="U434" s="43"/>
      <c r="V434" s="43"/>
      <c r="W434" s="43"/>
      <c r="X434" s="43"/>
      <c r="Y434" s="43"/>
      <c r="Z434" s="43"/>
      <c r="AA434" s="43"/>
      <c r="AB434" s="43"/>
      <c r="AC434" s="43"/>
      <c r="AD434" s="12"/>
    </row>
  </sheetData>
  <sheetProtection algorithmName="SHA-512" hashValue="H1Pz389cWU8Vmv25893y41hRojBP2sk4nIUvuV2BtAlrv+sx6It0kGnd6Zvu7jsQrTZtB4sXO8m1jTMwjOjHVg==" saltValue="oHjHRWBdJg4OdLZRF+vI/g==" spinCount="100000" sheet="1" objects="1" scenarios="1"/>
  <dataConsolidate/>
  <mergeCells count="115">
    <mergeCell ref="U146:W146"/>
    <mergeCell ref="M135:N135"/>
    <mergeCell ref="M151:N151"/>
    <mergeCell ref="M250:N250"/>
    <mergeCell ref="S424:T424"/>
    <mergeCell ref="S432:T432"/>
    <mergeCell ref="S248:T248"/>
    <mergeCell ref="S255:T255"/>
    <mergeCell ref="T296:U296"/>
    <mergeCell ref="T295:U295"/>
    <mergeCell ref="U432:W432"/>
    <mergeCell ref="Q287:V287"/>
    <mergeCell ref="P277:P278"/>
    <mergeCell ref="M192:N192"/>
    <mergeCell ref="M191:N191"/>
    <mergeCell ref="S191:T191"/>
    <mergeCell ref="M232:N232"/>
    <mergeCell ref="M236:N236"/>
    <mergeCell ref="S12:T12"/>
    <mergeCell ref="S96:T96"/>
    <mergeCell ref="S189:T189"/>
    <mergeCell ref="S225:T225"/>
    <mergeCell ref="S112:T112"/>
    <mergeCell ref="S134:T134"/>
    <mergeCell ref="AB5:AB6"/>
    <mergeCell ref="P10:R10"/>
    <mergeCell ref="G274:H274"/>
    <mergeCell ref="M20:N20"/>
    <mergeCell ref="M72:N72"/>
    <mergeCell ref="M78:N78"/>
    <mergeCell ref="M85:N85"/>
    <mergeCell ref="S65:T65"/>
    <mergeCell ref="M26:N26"/>
    <mergeCell ref="M33:N33"/>
    <mergeCell ref="M41:N41"/>
    <mergeCell ref="M47:N47"/>
    <mergeCell ref="M56:N56"/>
    <mergeCell ref="M205:N205"/>
    <mergeCell ref="M182:N182"/>
    <mergeCell ref="S182:T182"/>
    <mergeCell ref="M183:N183"/>
    <mergeCell ref="M198:N198"/>
    <mergeCell ref="G302:H302"/>
    <mergeCell ref="G422:H422"/>
    <mergeCell ref="Q276:V276"/>
    <mergeCell ref="O277:O278"/>
    <mergeCell ref="N314:N316"/>
    <mergeCell ref="P340:R343"/>
    <mergeCell ref="P345:Q346"/>
    <mergeCell ref="P353:Q355"/>
    <mergeCell ref="M432:N432"/>
    <mergeCell ref="M426:N426"/>
    <mergeCell ref="C2:F9"/>
    <mergeCell ref="C10:F10"/>
    <mergeCell ref="G9:J9"/>
    <mergeCell ref="G257:H257"/>
    <mergeCell ref="C11:F11"/>
    <mergeCell ref="C12:E12"/>
    <mergeCell ref="G3:J3"/>
    <mergeCell ref="J5:K5"/>
    <mergeCell ref="Y289:AA293"/>
    <mergeCell ref="U10:W10"/>
    <mergeCell ref="M259:T260"/>
    <mergeCell ref="W277:X278"/>
    <mergeCell ref="W279:X279"/>
    <mergeCell ref="W280:X280"/>
    <mergeCell ref="W281:X281"/>
    <mergeCell ref="W282:X282"/>
    <mergeCell ref="W283:X283"/>
    <mergeCell ref="W284:X284"/>
    <mergeCell ref="W285:X285"/>
    <mergeCell ref="Q285:V285"/>
    <mergeCell ref="M14:N14"/>
    <mergeCell ref="M67:N67"/>
    <mergeCell ref="W287:X288"/>
    <mergeCell ref="S11:T11"/>
    <mergeCell ref="M240:N240"/>
    <mergeCell ref="M210:N210"/>
    <mergeCell ref="M217:N217"/>
    <mergeCell ref="M227:N227"/>
    <mergeCell ref="U182:W182"/>
    <mergeCell ref="U112:W112"/>
    <mergeCell ref="M98:N98"/>
    <mergeCell ref="M134:N134"/>
    <mergeCell ref="M105:N105"/>
    <mergeCell ref="M112:N112"/>
    <mergeCell ref="M118:N118"/>
    <mergeCell ref="M113:N113"/>
    <mergeCell ref="M122:N122"/>
    <mergeCell ref="M130:N130"/>
    <mergeCell ref="M126:N126"/>
    <mergeCell ref="U134:W134"/>
    <mergeCell ref="M141:N141"/>
    <mergeCell ref="M147:N147"/>
    <mergeCell ref="U191:W191"/>
    <mergeCell ref="M197:N197"/>
    <mergeCell ref="S197:T197"/>
    <mergeCell ref="U197:W197"/>
    <mergeCell ref="M146:N146"/>
    <mergeCell ref="S146:T146"/>
    <mergeCell ref="S163:T163"/>
    <mergeCell ref="U163:W163"/>
    <mergeCell ref="M163:N163"/>
    <mergeCell ref="M155:N155"/>
    <mergeCell ref="M173:N173"/>
    <mergeCell ref="M178:N178"/>
    <mergeCell ref="M169:N169"/>
    <mergeCell ref="M168:N168"/>
    <mergeCell ref="S168:T168"/>
    <mergeCell ref="U168:W168"/>
    <mergeCell ref="M159:N159"/>
    <mergeCell ref="M177:N177"/>
    <mergeCell ref="S177:T177"/>
    <mergeCell ref="U177:W177"/>
    <mergeCell ref="M164:N164"/>
  </mergeCells>
  <conditionalFormatting sqref="B279">
    <cfRule type="cellIs" dxfId="1256" priority="10570" operator="equal">
      <formula>"."</formula>
    </cfRule>
  </conditionalFormatting>
  <conditionalFormatting sqref="C276:E276 C295:E298">
    <cfRule type="expression" dxfId="1255" priority="10450">
      <formula>$H276&lt;&gt;""</formula>
    </cfRule>
  </conditionalFormatting>
  <conditionalFormatting sqref="C277:E285">
    <cfRule type="expression" dxfId="1254" priority="10448">
      <formula>$H277&lt;&gt;""</formula>
    </cfRule>
  </conditionalFormatting>
  <conditionalFormatting sqref="B277">
    <cfRule type="cellIs" dxfId="1253" priority="10444" operator="equal">
      <formula>"."</formula>
    </cfRule>
  </conditionalFormatting>
  <conditionalFormatting sqref="B428">
    <cfRule type="expression" dxfId="1252" priority="10339">
      <formula>AD428&lt;&gt;""</formula>
    </cfRule>
  </conditionalFormatting>
  <conditionalFormatting sqref="Z428">
    <cfRule type="cellIs" dxfId="1251" priority="10337" operator="greaterThan">
      <formula>0</formula>
    </cfRule>
    <cfRule type="cellIs" dxfId="1250" priority="10338" operator="lessThan">
      <formula>0</formula>
    </cfRule>
  </conditionalFormatting>
  <conditionalFormatting sqref="S428">
    <cfRule type="cellIs" dxfId="1249" priority="10336" operator="lessThan">
      <formula>0</formula>
    </cfRule>
  </conditionalFormatting>
  <conditionalFormatting sqref="T426:T427">
    <cfRule type="expression" dxfId="1248" priority="10340">
      <formula>#REF!="Yes"</formula>
    </cfRule>
  </conditionalFormatting>
  <conditionalFormatting sqref="P428">
    <cfRule type="cellIs" dxfId="1247" priority="10333" operator="equal">
      <formula>AS_DURATION_EFFORT</formula>
    </cfRule>
    <cfRule type="cellIs" dxfId="1246" priority="10334" operator="equal">
      <formula>AS_DEV_EFFORT</formula>
    </cfRule>
  </conditionalFormatting>
  <conditionalFormatting sqref="S432">
    <cfRule type="expression" dxfId="1245" priority="10149">
      <formula>#REF!="Yes"</formula>
    </cfRule>
  </conditionalFormatting>
  <conditionalFormatting sqref="B424">
    <cfRule type="expression" dxfId="1244" priority="10141">
      <formula>AD424&lt;&gt;""</formula>
    </cfRule>
  </conditionalFormatting>
  <conditionalFormatting sqref="B426:B427">
    <cfRule type="expression" dxfId="1243" priority="10140">
      <formula>AD426&lt;&gt;""</formula>
    </cfRule>
  </conditionalFormatting>
  <conditionalFormatting sqref="B432">
    <cfRule type="expression" dxfId="1242" priority="10139">
      <formula>AD432&lt;&gt;""</formula>
    </cfRule>
  </conditionalFormatting>
  <conditionalFormatting sqref="L16:AC17 L28:M28 L35:M35 L43:M43 L49:M49 L58:M58 O28:P28 O35:P35 P43:AC43 L74:AC74 L80:AC83 O49:AC49 P58:AC58 L23:AC24 R28:AC28 S35:AC35 L69:AC70 L87:AC93 L100:AC103 L107:M110 O107:AC110 L166:AC166 L171:AC171 L185:AC185 L200:AC203 L194:AC195 L207:AC208 L212:AC215 L242:AC245 L252:AC252 L229:AC230 L234:AC234 L238:AC238 L428:AC428 L219:AC222">
    <cfRule type="expression" dxfId="1241" priority="12428">
      <formula>AND($G16="Yes", $S$6="Exclude")</formula>
    </cfRule>
    <cfRule type="expression" dxfId="1240" priority="12429">
      <formula>$J16="Yes"</formula>
    </cfRule>
  </conditionalFormatting>
  <conditionalFormatting sqref="T5">
    <cfRule type="expression" dxfId="1239" priority="9722">
      <formula>OR($S$5="Reduce by:", $S$5="Increase by:")</formula>
    </cfRule>
  </conditionalFormatting>
  <conditionalFormatting sqref="F428">
    <cfRule type="expression" dxfId="1238" priority="6972">
      <formula>$K428&lt;&gt;""</formula>
    </cfRule>
  </conditionalFormatting>
  <conditionalFormatting sqref="C428">
    <cfRule type="expression" dxfId="1237" priority="6928">
      <formula>$G428&lt;&gt;"-"</formula>
    </cfRule>
  </conditionalFormatting>
  <conditionalFormatting sqref="D428">
    <cfRule type="expression" dxfId="1236" priority="6926">
      <formula>$H428&lt;&gt;"-"</formula>
    </cfRule>
  </conditionalFormatting>
  <conditionalFormatting sqref="E428">
    <cfRule type="expression" dxfId="1235" priority="6925">
      <formula>$I428&lt;&gt;"-"</formula>
    </cfRule>
  </conditionalFormatting>
  <conditionalFormatting sqref="B280">
    <cfRule type="cellIs" dxfId="1234" priority="3369" operator="equal">
      <formula>"."</formula>
    </cfRule>
  </conditionalFormatting>
  <conditionalFormatting sqref="B281">
    <cfRule type="cellIs" dxfId="1233" priority="3368" operator="equal">
      <formula>"."</formula>
    </cfRule>
  </conditionalFormatting>
  <conditionalFormatting sqref="B282">
    <cfRule type="cellIs" dxfId="1232" priority="3367" operator="equal">
      <formula>"."</formula>
    </cfRule>
  </conditionalFormatting>
  <conditionalFormatting sqref="B283">
    <cfRule type="cellIs" dxfId="1231" priority="3366" operator="equal">
      <formula>"."</formula>
    </cfRule>
  </conditionalFormatting>
  <conditionalFormatting sqref="B284">
    <cfRule type="cellIs" dxfId="1230" priority="3365" operator="equal">
      <formula>"."</formula>
    </cfRule>
  </conditionalFormatting>
  <conditionalFormatting sqref="B16">
    <cfRule type="expression" dxfId="1229" priority="3361">
      <formula>AD16&lt;&gt;""</formula>
    </cfRule>
  </conditionalFormatting>
  <conditionalFormatting sqref="Z16">
    <cfRule type="cellIs" dxfId="1228" priority="3359" operator="greaterThan">
      <formula>0</formula>
    </cfRule>
    <cfRule type="cellIs" dxfId="1227" priority="3360" operator="lessThan">
      <formula>0</formula>
    </cfRule>
  </conditionalFormatting>
  <conditionalFormatting sqref="S16">
    <cfRule type="cellIs" dxfId="1226" priority="3358" operator="lessThan">
      <formula>0</formula>
    </cfRule>
  </conditionalFormatting>
  <conditionalFormatting sqref="T14:T15">
    <cfRule type="expression" dxfId="1225" priority="3362">
      <formula>#REF!="Yes"</formula>
    </cfRule>
  </conditionalFormatting>
  <conditionalFormatting sqref="P16">
    <cfRule type="cellIs" dxfId="1224" priority="3356" operator="equal">
      <formula>AS_DURATION_EFFORT</formula>
    </cfRule>
    <cfRule type="cellIs" dxfId="1223" priority="3357" operator="equal">
      <formula>AS_DEV_EFFORT</formula>
    </cfRule>
  </conditionalFormatting>
  <conditionalFormatting sqref="B14:B15">
    <cfRule type="expression" dxfId="1222" priority="3355">
      <formula>AD14&lt;&gt;""</formula>
    </cfRule>
  </conditionalFormatting>
  <conditionalFormatting sqref="F16">
    <cfRule type="expression" dxfId="1221" priority="3354">
      <formula>$K16&lt;&gt;""</formula>
    </cfRule>
  </conditionalFormatting>
  <conditionalFormatting sqref="C16">
    <cfRule type="expression" dxfId="1220" priority="3353">
      <formula>$G16&lt;&gt;"-"</formula>
    </cfRule>
  </conditionalFormatting>
  <conditionalFormatting sqref="D16">
    <cfRule type="expression" dxfId="1219" priority="3352">
      <formula>$H16&lt;&gt;"-"</formula>
    </cfRule>
  </conditionalFormatting>
  <conditionalFormatting sqref="E16">
    <cfRule type="expression" dxfId="1218" priority="3351">
      <formula>$I16&lt;&gt;"-"</formula>
    </cfRule>
  </conditionalFormatting>
  <conditionalFormatting sqref="B17">
    <cfRule type="expression" dxfId="1217" priority="3348">
      <formula>AD17&lt;&gt;""</formula>
    </cfRule>
  </conditionalFormatting>
  <conditionalFormatting sqref="Z17">
    <cfRule type="cellIs" dxfId="1216" priority="3346" operator="greaterThan">
      <formula>0</formula>
    </cfRule>
    <cfRule type="cellIs" dxfId="1215" priority="3347" operator="lessThan">
      <formula>0</formula>
    </cfRule>
  </conditionalFormatting>
  <conditionalFormatting sqref="S17">
    <cfRule type="cellIs" dxfId="1214" priority="3345" operator="lessThan">
      <formula>0</formula>
    </cfRule>
  </conditionalFormatting>
  <conditionalFormatting sqref="P17">
    <cfRule type="cellIs" dxfId="1213" priority="3343" operator="equal">
      <formula>AS_DURATION_EFFORT</formula>
    </cfRule>
    <cfRule type="cellIs" dxfId="1212" priority="3344" operator="equal">
      <formula>AS_DEV_EFFORT</formula>
    </cfRule>
  </conditionalFormatting>
  <conditionalFormatting sqref="F17">
    <cfRule type="expression" dxfId="1211" priority="3342">
      <formula>$K17&lt;&gt;""</formula>
    </cfRule>
  </conditionalFormatting>
  <conditionalFormatting sqref="C17">
    <cfRule type="expression" dxfId="1210" priority="3341">
      <formula>$G17&lt;&gt;"-"</formula>
    </cfRule>
  </conditionalFormatting>
  <conditionalFormatting sqref="D17">
    <cfRule type="expression" dxfId="1209" priority="3340">
      <formula>$H17&lt;&gt;"-"</formula>
    </cfRule>
  </conditionalFormatting>
  <conditionalFormatting sqref="E17">
    <cfRule type="expression" dxfId="1208" priority="3339">
      <formula>$I17&lt;&gt;"-"</formula>
    </cfRule>
  </conditionalFormatting>
  <conditionalFormatting sqref="B69">
    <cfRule type="expression" dxfId="1207" priority="3335">
      <formula>AD69&lt;&gt;""</formula>
    </cfRule>
  </conditionalFormatting>
  <conditionalFormatting sqref="Z69">
    <cfRule type="cellIs" dxfId="1206" priority="3333" operator="greaterThan">
      <formula>0</formula>
    </cfRule>
    <cfRule type="cellIs" dxfId="1205" priority="3334" operator="lessThan">
      <formula>0</formula>
    </cfRule>
  </conditionalFormatting>
  <conditionalFormatting sqref="S69">
    <cfRule type="cellIs" dxfId="1204" priority="3332" operator="lessThan">
      <formula>0</formula>
    </cfRule>
  </conditionalFormatting>
  <conditionalFormatting sqref="T67:T68">
    <cfRule type="expression" dxfId="1203" priority="3336">
      <formula>#REF!="Yes"</formula>
    </cfRule>
  </conditionalFormatting>
  <conditionalFormatting sqref="P69">
    <cfRule type="cellIs" dxfId="1202" priority="3330" operator="equal">
      <formula>AS_DURATION_EFFORT</formula>
    </cfRule>
    <cfRule type="cellIs" dxfId="1201" priority="3331" operator="equal">
      <formula>AS_DEV_EFFORT</formula>
    </cfRule>
  </conditionalFormatting>
  <conditionalFormatting sqref="B67:B68">
    <cfRule type="expression" dxfId="1200" priority="3329">
      <formula>AD67&lt;&gt;""</formula>
    </cfRule>
  </conditionalFormatting>
  <conditionalFormatting sqref="F69">
    <cfRule type="expression" dxfId="1199" priority="3328">
      <formula>$K69&lt;&gt;""</formula>
    </cfRule>
  </conditionalFormatting>
  <conditionalFormatting sqref="C69">
    <cfRule type="expression" dxfId="1198" priority="3327">
      <formula>$G69&lt;&gt;"-"</formula>
    </cfRule>
  </conditionalFormatting>
  <conditionalFormatting sqref="D69">
    <cfRule type="expression" dxfId="1197" priority="3326">
      <formula>$H69&lt;&gt;"-"</formula>
    </cfRule>
  </conditionalFormatting>
  <conditionalFormatting sqref="E69">
    <cfRule type="expression" dxfId="1196" priority="3325">
      <formula>$I69&lt;&gt;"-"</formula>
    </cfRule>
  </conditionalFormatting>
  <conditionalFormatting sqref="B100">
    <cfRule type="expression" dxfId="1195" priority="3265">
      <formula>AD100&lt;&gt;""</formula>
    </cfRule>
  </conditionalFormatting>
  <conditionalFormatting sqref="Z100">
    <cfRule type="cellIs" dxfId="1194" priority="3263" operator="greaterThan">
      <formula>0</formula>
    </cfRule>
    <cfRule type="cellIs" dxfId="1193" priority="3264" operator="lessThan">
      <formula>0</formula>
    </cfRule>
  </conditionalFormatting>
  <conditionalFormatting sqref="S100">
    <cfRule type="cellIs" dxfId="1192" priority="3262" operator="lessThan">
      <formula>0</formula>
    </cfRule>
  </conditionalFormatting>
  <conditionalFormatting sqref="T98:T99">
    <cfRule type="expression" dxfId="1191" priority="3266">
      <formula>#REF!="Yes"</formula>
    </cfRule>
  </conditionalFormatting>
  <conditionalFormatting sqref="P100">
    <cfRule type="cellIs" dxfId="1190" priority="3260" operator="equal">
      <formula>AS_DURATION_EFFORT</formula>
    </cfRule>
    <cfRule type="cellIs" dxfId="1189" priority="3261" operator="equal">
      <formula>AS_DEV_EFFORT</formula>
    </cfRule>
  </conditionalFormatting>
  <conditionalFormatting sqref="B98:B99">
    <cfRule type="expression" dxfId="1188" priority="3259">
      <formula>AD98&lt;&gt;""</formula>
    </cfRule>
  </conditionalFormatting>
  <conditionalFormatting sqref="F100">
    <cfRule type="expression" dxfId="1187" priority="3258">
      <formula>$K100&lt;&gt;""</formula>
    </cfRule>
  </conditionalFormatting>
  <conditionalFormatting sqref="C100">
    <cfRule type="expression" dxfId="1186" priority="3257">
      <formula>$G100&lt;&gt;"-"</formula>
    </cfRule>
  </conditionalFormatting>
  <conditionalFormatting sqref="D100">
    <cfRule type="expression" dxfId="1185" priority="3256">
      <formula>$H100&lt;&gt;"-"</formula>
    </cfRule>
  </conditionalFormatting>
  <conditionalFormatting sqref="E100">
    <cfRule type="expression" dxfId="1184" priority="3255">
      <formula>$I100&lt;&gt;"-"</formula>
    </cfRule>
  </conditionalFormatting>
  <conditionalFormatting sqref="B185">
    <cfRule type="expression" dxfId="1183" priority="3251">
      <formula>AD185&lt;&gt;""</formula>
    </cfRule>
  </conditionalFormatting>
  <conditionalFormatting sqref="Z185">
    <cfRule type="cellIs" dxfId="1182" priority="3249" operator="greaterThan">
      <formula>0</formula>
    </cfRule>
    <cfRule type="cellIs" dxfId="1181" priority="3250" operator="lessThan">
      <formula>0</formula>
    </cfRule>
  </conditionalFormatting>
  <conditionalFormatting sqref="S185">
    <cfRule type="cellIs" dxfId="1180" priority="3248" operator="lessThan">
      <formula>0</formula>
    </cfRule>
  </conditionalFormatting>
  <conditionalFormatting sqref="T183:T184">
    <cfRule type="expression" dxfId="1179" priority="3252">
      <formula>#REF!="Yes"</formula>
    </cfRule>
  </conditionalFormatting>
  <conditionalFormatting sqref="P185">
    <cfRule type="cellIs" dxfId="1178" priority="3246" operator="equal">
      <formula>AS_DURATION_EFFORT</formula>
    </cfRule>
    <cfRule type="cellIs" dxfId="1177" priority="3247" operator="equal">
      <formula>AS_DEV_EFFORT</formula>
    </cfRule>
  </conditionalFormatting>
  <conditionalFormatting sqref="B183:B184">
    <cfRule type="expression" dxfId="1176" priority="3245">
      <formula>AD183&lt;&gt;""</formula>
    </cfRule>
  </conditionalFormatting>
  <conditionalFormatting sqref="F185">
    <cfRule type="expression" dxfId="1175" priority="3244">
      <formula>$K185&lt;&gt;""</formula>
    </cfRule>
  </conditionalFormatting>
  <conditionalFormatting sqref="C185">
    <cfRule type="expression" dxfId="1174" priority="3243">
      <formula>$G185&lt;&gt;"-"</formula>
    </cfRule>
  </conditionalFormatting>
  <conditionalFormatting sqref="D185">
    <cfRule type="expression" dxfId="1173" priority="3242">
      <formula>$H185&lt;&gt;"-"</formula>
    </cfRule>
  </conditionalFormatting>
  <conditionalFormatting sqref="E185">
    <cfRule type="expression" dxfId="1172" priority="3241">
      <formula>$I185&lt;&gt;"-"</formula>
    </cfRule>
  </conditionalFormatting>
  <conditionalFormatting sqref="B107">
    <cfRule type="expression" dxfId="1171" priority="3223">
      <formula>AD107&lt;&gt;""</formula>
    </cfRule>
  </conditionalFormatting>
  <conditionalFormatting sqref="Z107">
    <cfRule type="cellIs" dxfId="1170" priority="3221" operator="greaterThan">
      <formula>0</formula>
    </cfRule>
    <cfRule type="cellIs" dxfId="1169" priority="3222" operator="lessThan">
      <formula>0</formula>
    </cfRule>
  </conditionalFormatting>
  <conditionalFormatting sqref="S107">
    <cfRule type="cellIs" dxfId="1168" priority="3220" operator="lessThan">
      <formula>0</formula>
    </cfRule>
  </conditionalFormatting>
  <conditionalFormatting sqref="T105:T106">
    <cfRule type="expression" dxfId="1167" priority="3224">
      <formula>#REF!="Yes"</formula>
    </cfRule>
  </conditionalFormatting>
  <conditionalFormatting sqref="P107">
    <cfRule type="cellIs" dxfId="1166" priority="3218" operator="equal">
      <formula>AS_DURATION_EFFORT</formula>
    </cfRule>
    <cfRule type="cellIs" dxfId="1165" priority="3219" operator="equal">
      <formula>AS_DEV_EFFORT</formula>
    </cfRule>
  </conditionalFormatting>
  <conditionalFormatting sqref="B105:B106">
    <cfRule type="expression" dxfId="1164" priority="3217">
      <formula>AD105&lt;&gt;""</formula>
    </cfRule>
  </conditionalFormatting>
  <conditionalFormatting sqref="F107">
    <cfRule type="expression" dxfId="1163" priority="3216">
      <formula>$K107&lt;&gt;""</formula>
    </cfRule>
  </conditionalFormatting>
  <conditionalFormatting sqref="C107">
    <cfRule type="expression" dxfId="1162" priority="3215">
      <formula>$G107&lt;&gt;"-"</formula>
    </cfRule>
  </conditionalFormatting>
  <conditionalFormatting sqref="D107">
    <cfRule type="expression" dxfId="1161" priority="3214">
      <formula>$H107&lt;&gt;"-"</formula>
    </cfRule>
  </conditionalFormatting>
  <conditionalFormatting sqref="E107">
    <cfRule type="expression" dxfId="1160" priority="3213">
      <formula>$I107&lt;&gt;"-"</formula>
    </cfRule>
  </conditionalFormatting>
  <conditionalFormatting sqref="S112">
    <cfRule type="expression" dxfId="1159" priority="3208">
      <formula>#REF!="Yes"</formula>
    </cfRule>
  </conditionalFormatting>
  <conditionalFormatting sqref="B112">
    <cfRule type="expression" dxfId="1158" priority="3207">
      <formula>AD112&lt;&gt;""</formula>
    </cfRule>
  </conditionalFormatting>
  <conditionalFormatting sqref="B23">
    <cfRule type="expression" dxfId="1157" priority="3203">
      <formula>AD23&lt;&gt;""</formula>
    </cfRule>
  </conditionalFormatting>
  <conditionalFormatting sqref="Z23">
    <cfRule type="cellIs" dxfId="1156" priority="3201" operator="greaterThan">
      <formula>0</formula>
    </cfRule>
    <cfRule type="cellIs" dxfId="1155" priority="3202" operator="lessThan">
      <formula>0</formula>
    </cfRule>
  </conditionalFormatting>
  <conditionalFormatting sqref="S23">
    <cfRule type="cellIs" dxfId="1154" priority="3200" operator="lessThan">
      <formula>0</formula>
    </cfRule>
  </conditionalFormatting>
  <conditionalFormatting sqref="T20:T21">
    <cfRule type="expression" dxfId="1153" priority="3204">
      <formula>#REF!="Yes"</formula>
    </cfRule>
  </conditionalFormatting>
  <conditionalFormatting sqref="P23">
    <cfRule type="cellIs" dxfId="1152" priority="3198" operator="equal">
      <formula>AS_DURATION_EFFORT</formula>
    </cfRule>
    <cfRule type="cellIs" dxfId="1151" priority="3199" operator="equal">
      <formula>AS_DEV_EFFORT</formula>
    </cfRule>
  </conditionalFormatting>
  <conditionalFormatting sqref="B20:B21">
    <cfRule type="expression" dxfId="1150" priority="3197">
      <formula>AD20&lt;&gt;""</formula>
    </cfRule>
  </conditionalFormatting>
  <conditionalFormatting sqref="F23">
    <cfRule type="expression" dxfId="1149" priority="3196">
      <formula>$K23&lt;&gt;""</formula>
    </cfRule>
  </conditionalFormatting>
  <conditionalFormatting sqref="C23">
    <cfRule type="expression" dxfId="1148" priority="3195">
      <formula>$G23&lt;&gt;"-"</formula>
    </cfRule>
  </conditionalFormatting>
  <conditionalFormatting sqref="D23">
    <cfRule type="expression" dxfId="1147" priority="3194">
      <formula>$H23&lt;&gt;"-"</formula>
    </cfRule>
  </conditionalFormatting>
  <conditionalFormatting sqref="E23">
    <cfRule type="expression" dxfId="1146" priority="3193">
      <formula>$I23&lt;&gt;"-"</formula>
    </cfRule>
  </conditionalFormatting>
  <conditionalFormatting sqref="B24">
    <cfRule type="expression" dxfId="1145" priority="3190">
      <formula>AD24&lt;&gt;""</formula>
    </cfRule>
  </conditionalFormatting>
  <conditionalFormatting sqref="Z24">
    <cfRule type="cellIs" dxfId="1144" priority="3188" operator="greaterThan">
      <formula>0</formula>
    </cfRule>
    <cfRule type="cellIs" dxfId="1143" priority="3189" operator="lessThan">
      <formula>0</formula>
    </cfRule>
  </conditionalFormatting>
  <conditionalFormatting sqref="S24">
    <cfRule type="cellIs" dxfId="1142" priority="3187" operator="lessThan">
      <formula>0</formula>
    </cfRule>
  </conditionalFormatting>
  <conditionalFormatting sqref="P24">
    <cfRule type="cellIs" dxfId="1141" priority="3185" operator="equal">
      <formula>AS_DURATION_EFFORT</formula>
    </cfRule>
    <cfRule type="cellIs" dxfId="1140" priority="3186" operator="equal">
      <formula>AS_DEV_EFFORT</formula>
    </cfRule>
  </conditionalFormatting>
  <conditionalFormatting sqref="F24">
    <cfRule type="expression" dxfId="1139" priority="3184">
      <formula>$K24&lt;&gt;""</formula>
    </cfRule>
  </conditionalFormatting>
  <conditionalFormatting sqref="C24">
    <cfRule type="expression" dxfId="1138" priority="3183">
      <formula>$G24&lt;&gt;"-"</formula>
    </cfRule>
  </conditionalFormatting>
  <conditionalFormatting sqref="D24">
    <cfRule type="expression" dxfId="1137" priority="3182">
      <formula>$H24&lt;&gt;"-"</formula>
    </cfRule>
  </conditionalFormatting>
  <conditionalFormatting sqref="E24">
    <cfRule type="expression" dxfId="1136" priority="3181">
      <formula>$I24&lt;&gt;"-"</formula>
    </cfRule>
  </conditionalFormatting>
  <conditionalFormatting sqref="B74">
    <cfRule type="expression" dxfId="1135" priority="3127">
      <formula>AD74&lt;&gt;""</formula>
    </cfRule>
  </conditionalFormatting>
  <conditionalFormatting sqref="Z74">
    <cfRule type="cellIs" dxfId="1134" priority="3125" operator="greaterThan">
      <formula>0</formula>
    </cfRule>
    <cfRule type="cellIs" dxfId="1133" priority="3126" operator="lessThan">
      <formula>0</formula>
    </cfRule>
  </conditionalFormatting>
  <conditionalFormatting sqref="S74">
    <cfRule type="cellIs" dxfId="1132" priority="3124" operator="lessThan">
      <formula>0</formula>
    </cfRule>
  </conditionalFormatting>
  <conditionalFormatting sqref="T72:T73">
    <cfRule type="expression" dxfId="1131" priority="3128">
      <formula>#REF!="Yes"</formula>
    </cfRule>
  </conditionalFormatting>
  <conditionalFormatting sqref="P74">
    <cfRule type="cellIs" dxfId="1130" priority="3122" operator="equal">
      <formula>AS_DURATION_EFFORT</formula>
    </cfRule>
    <cfRule type="cellIs" dxfId="1129" priority="3123" operator="equal">
      <formula>AS_DEV_EFFORT</formula>
    </cfRule>
  </conditionalFormatting>
  <conditionalFormatting sqref="B72:B73">
    <cfRule type="expression" dxfId="1128" priority="3121">
      <formula>AD72&lt;&gt;""</formula>
    </cfRule>
  </conditionalFormatting>
  <conditionalFormatting sqref="F74">
    <cfRule type="expression" dxfId="1127" priority="3120">
      <formula>$K74&lt;&gt;""</formula>
    </cfRule>
  </conditionalFormatting>
  <conditionalFormatting sqref="C74">
    <cfRule type="expression" dxfId="1126" priority="3119">
      <formula>$G74&lt;&gt;"-"</formula>
    </cfRule>
  </conditionalFormatting>
  <conditionalFormatting sqref="D74">
    <cfRule type="expression" dxfId="1125" priority="3118">
      <formula>$H74&lt;&gt;"-"</formula>
    </cfRule>
  </conditionalFormatting>
  <conditionalFormatting sqref="E74">
    <cfRule type="expression" dxfId="1124" priority="3117">
      <formula>$I74&lt;&gt;"-"</formula>
    </cfRule>
  </conditionalFormatting>
  <conditionalFormatting sqref="B80">
    <cfRule type="expression" dxfId="1123" priority="3113">
      <formula>AD80&lt;&gt;""</formula>
    </cfRule>
  </conditionalFormatting>
  <conditionalFormatting sqref="Z80">
    <cfRule type="cellIs" dxfId="1122" priority="3111" operator="greaterThan">
      <formula>0</formula>
    </cfRule>
    <cfRule type="cellIs" dxfId="1121" priority="3112" operator="lessThan">
      <formula>0</formula>
    </cfRule>
  </conditionalFormatting>
  <conditionalFormatting sqref="S80">
    <cfRule type="cellIs" dxfId="1120" priority="3110" operator="lessThan">
      <formula>0</formula>
    </cfRule>
  </conditionalFormatting>
  <conditionalFormatting sqref="T78:T79">
    <cfRule type="expression" dxfId="1119" priority="3114">
      <formula>#REF!="Yes"</formula>
    </cfRule>
  </conditionalFormatting>
  <conditionalFormatting sqref="P80">
    <cfRule type="cellIs" dxfId="1118" priority="3108" operator="equal">
      <formula>AS_DURATION_EFFORT</formula>
    </cfRule>
    <cfRule type="cellIs" dxfId="1117" priority="3109" operator="equal">
      <formula>AS_DEV_EFFORT</formula>
    </cfRule>
  </conditionalFormatting>
  <conditionalFormatting sqref="B78:B79">
    <cfRule type="expression" dxfId="1116" priority="3107">
      <formula>AD78&lt;&gt;""</formula>
    </cfRule>
  </conditionalFormatting>
  <conditionalFormatting sqref="F80">
    <cfRule type="expression" dxfId="1115" priority="3106">
      <formula>$K80&lt;&gt;""</formula>
    </cfRule>
  </conditionalFormatting>
  <conditionalFormatting sqref="C80">
    <cfRule type="expression" dxfId="1114" priority="3105">
      <formula>$G80&lt;&gt;"-"</formula>
    </cfRule>
  </conditionalFormatting>
  <conditionalFormatting sqref="D80">
    <cfRule type="expression" dxfId="1113" priority="3104">
      <formula>$H80&lt;&gt;"-"</formula>
    </cfRule>
  </conditionalFormatting>
  <conditionalFormatting sqref="E80">
    <cfRule type="expression" dxfId="1112" priority="3103">
      <formula>$I80&lt;&gt;"-"</formula>
    </cfRule>
  </conditionalFormatting>
  <conditionalFormatting sqref="B87">
    <cfRule type="expression" dxfId="1111" priority="3099">
      <formula>AD87&lt;&gt;""</formula>
    </cfRule>
  </conditionalFormatting>
  <conditionalFormatting sqref="Z87">
    <cfRule type="cellIs" dxfId="1110" priority="3097" operator="greaterThan">
      <formula>0</formula>
    </cfRule>
    <cfRule type="cellIs" dxfId="1109" priority="3098" operator="lessThan">
      <formula>0</formula>
    </cfRule>
  </conditionalFormatting>
  <conditionalFormatting sqref="S87">
    <cfRule type="cellIs" dxfId="1108" priority="3096" operator="lessThan">
      <formula>0</formula>
    </cfRule>
  </conditionalFormatting>
  <conditionalFormatting sqref="T85:T86">
    <cfRule type="expression" dxfId="1107" priority="3100">
      <formula>#REF!="Yes"</formula>
    </cfRule>
  </conditionalFormatting>
  <conditionalFormatting sqref="P87">
    <cfRule type="cellIs" dxfId="1106" priority="3094" operator="equal">
      <formula>AS_DURATION_EFFORT</formula>
    </cfRule>
    <cfRule type="cellIs" dxfId="1105" priority="3095" operator="equal">
      <formula>AS_DEV_EFFORT</formula>
    </cfRule>
  </conditionalFormatting>
  <conditionalFormatting sqref="B85:B86">
    <cfRule type="expression" dxfId="1104" priority="3093">
      <formula>AD85&lt;&gt;""</formula>
    </cfRule>
  </conditionalFormatting>
  <conditionalFormatting sqref="F87">
    <cfRule type="expression" dxfId="1103" priority="3092">
      <formula>$K87&lt;&gt;""</formula>
    </cfRule>
  </conditionalFormatting>
  <conditionalFormatting sqref="C87">
    <cfRule type="expression" dxfId="1102" priority="3091">
      <formula>$G87&lt;&gt;"-"</formula>
    </cfRule>
  </conditionalFormatting>
  <conditionalFormatting sqref="D87">
    <cfRule type="expression" dxfId="1101" priority="3090">
      <formula>$H87&lt;&gt;"-"</formula>
    </cfRule>
  </conditionalFormatting>
  <conditionalFormatting sqref="E87">
    <cfRule type="expression" dxfId="1100" priority="3089">
      <formula>$I87&lt;&gt;"-"</formula>
    </cfRule>
  </conditionalFormatting>
  <conditionalFormatting sqref="B70">
    <cfRule type="expression" dxfId="1099" priority="3058">
      <formula>AD70&lt;&gt;""</formula>
    </cfRule>
  </conditionalFormatting>
  <conditionalFormatting sqref="Z70">
    <cfRule type="cellIs" dxfId="1098" priority="3056" operator="greaterThan">
      <formula>0</formula>
    </cfRule>
    <cfRule type="cellIs" dxfId="1097" priority="3057" operator="lessThan">
      <formula>0</formula>
    </cfRule>
  </conditionalFormatting>
  <conditionalFormatting sqref="S70">
    <cfRule type="cellIs" dxfId="1096" priority="3055" operator="lessThan">
      <formula>0</formula>
    </cfRule>
  </conditionalFormatting>
  <conditionalFormatting sqref="P70">
    <cfRule type="cellIs" dxfId="1095" priority="3053" operator="equal">
      <formula>AS_DURATION_EFFORT</formula>
    </cfRule>
    <cfRule type="cellIs" dxfId="1094" priority="3054" operator="equal">
      <formula>AS_DEV_EFFORT</formula>
    </cfRule>
  </conditionalFormatting>
  <conditionalFormatting sqref="F70">
    <cfRule type="expression" dxfId="1093" priority="3052">
      <formula>$K70&lt;&gt;""</formula>
    </cfRule>
  </conditionalFormatting>
  <conditionalFormatting sqref="C70">
    <cfRule type="expression" dxfId="1092" priority="3051">
      <formula>$G70&lt;&gt;"-"</formula>
    </cfRule>
  </conditionalFormatting>
  <conditionalFormatting sqref="D70">
    <cfRule type="expression" dxfId="1091" priority="3050">
      <formula>$H70&lt;&gt;"-"</formula>
    </cfRule>
  </conditionalFormatting>
  <conditionalFormatting sqref="E70">
    <cfRule type="expression" dxfId="1090" priority="3049">
      <formula>$I70&lt;&gt;"-"</formula>
    </cfRule>
  </conditionalFormatting>
  <conditionalFormatting sqref="B81">
    <cfRule type="expression" dxfId="1089" priority="3046">
      <formula>AD81&lt;&gt;""</formula>
    </cfRule>
  </conditionalFormatting>
  <conditionalFormatting sqref="Z81">
    <cfRule type="cellIs" dxfId="1088" priority="3044" operator="greaterThan">
      <formula>0</formula>
    </cfRule>
    <cfRule type="cellIs" dxfId="1087" priority="3045" operator="lessThan">
      <formula>0</formula>
    </cfRule>
  </conditionalFormatting>
  <conditionalFormatting sqref="S81">
    <cfRule type="cellIs" dxfId="1086" priority="3043" operator="lessThan">
      <formula>0</formula>
    </cfRule>
  </conditionalFormatting>
  <conditionalFormatting sqref="P81">
    <cfRule type="cellIs" dxfId="1085" priority="3041" operator="equal">
      <formula>AS_DURATION_EFFORT</formula>
    </cfRule>
    <cfRule type="cellIs" dxfId="1084" priority="3042" operator="equal">
      <formula>AS_DEV_EFFORT</formula>
    </cfRule>
  </conditionalFormatting>
  <conditionalFormatting sqref="F81">
    <cfRule type="expression" dxfId="1083" priority="3040">
      <formula>$K81&lt;&gt;""</formula>
    </cfRule>
  </conditionalFormatting>
  <conditionalFormatting sqref="C81">
    <cfRule type="expression" dxfId="1082" priority="3039">
      <formula>$G81&lt;&gt;"-"</formula>
    </cfRule>
  </conditionalFormatting>
  <conditionalFormatting sqref="D81">
    <cfRule type="expression" dxfId="1081" priority="3038">
      <formula>$H81&lt;&gt;"-"</formula>
    </cfRule>
  </conditionalFormatting>
  <conditionalFormatting sqref="E81">
    <cfRule type="expression" dxfId="1080" priority="3037">
      <formula>$I81&lt;&gt;"-"</formula>
    </cfRule>
  </conditionalFormatting>
  <conditionalFormatting sqref="B82">
    <cfRule type="expression" dxfId="1079" priority="3034">
      <formula>AD82&lt;&gt;""</formula>
    </cfRule>
  </conditionalFormatting>
  <conditionalFormatting sqref="Z82">
    <cfRule type="cellIs" dxfId="1078" priority="3032" operator="greaterThan">
      <formula>0</formula>
    </cfRule>
    <cfRule type="cellIs" dxfId="1077" priority="3033" operator="lessThan">
      <formula>0</formula>
    </cfRule>
  </conditionalFormatting>
  <conditionalFormatting sqref="S82">
    <cfRule type="cellIs" dxfId="1076" priority="3031" operator="lessThan">
      <formula>0</formula>
    </cfRule>
  </conditionalFormatting>
  <conditionalFormatting sqref="P82">
    <cfRule type="cellIs" dxfId="1075" priority="3029" operator="equal">
      <formula>AS_DURATION_EFFORT</formula>
    </cfRule>
    <cfRule type="cellIs" dxfId="1074" priority="3030" operator="equal">
      <formula>AS_DEV_EFFORT</formula>
    </cfRule>
  </conditionalFormatting>
  <conditionalFormatting sqref="F82">
    <cfRule type="expression" dxfId="1073" priority="3028">
      <formula>$K82&lt;&gt;""</formula>
    </cfRule>
  </conditionalFormatting>
  <conditionalFormatting sqref="C82">
    <cfRule type="expression" dxfId="1072" priority="3027">
      <formula>$G82&lt;&gt;"-"</formula>
    </cfRule>
  </conditionalFormatting>
  <conditionalFormatting sqref="D82">
    <cfRule type="expression" dxfId="1071" priority="3026">
      <formula>$H82&lt;&gt;"-"</formula>
    </cfRule>
  </conditionalFormatting>
  <conditionalFormatting sqref="E82">
    <cfRule type="expression" dxfId="1070" priority="3025">
      <formula>$I82&lt;&gt;"-"</formula>
    </cfRule>
  </conditionalFormatting>
  <conditionalFormatting sqref="B83">
    <cfRule type="expression" dxfId="1069" priority="3022">
      <formula>AD83&lt;&gt;""</formula>
    </cfRule>
  </conditionalFormatting>
  <conditionalFormatting sqref="Z83">
    <cfRule type="cellIs" dxfId="1068" priority="3020" operator="greaterThan">
      <formula>0</formula>
    </cfRule>
    <cfRule type="cellIs" dxfId="1067" priority="3021" operator="lessThan">
      <formula>0</formula>
    </cfRule>
  </conditionalFormatting>
  <conditionalFormatting sqref="S83">
    <cfRule type="cellIs" dxfId="1066" priority="3019" operator="lessThan">
      <formula>0</formula>
    </cfRule>
  </conditionalFormatting>
  <conditionalFormatting sqref="P83">
    <cfRule type="cellIs" dxfId="1065" priority="3017" operator="equal">
      <formula>AS_DURATION_EFFORT</formula>
    </cfRule>
    <cfRule type="cellIs" dxfId="1064" priority="3018" operator="equal">
      <formula>AS_DEV_EFFORT</formula>
    </cfRule>
  </conditionalFormatting>
  <conditionalFormatting sqref="F83">
    <cfRule type="expression" dxfId="1063" priority="3016">
      <formula>$K83&lt;&gt;""</formula>
    </cfRule>
  </conditionalFormatting>
  <conditionalFormatting sqref="C83">
    <cfRule type="expression" dxfId="1062" priority="3015">
      <formula>$G83&lt;&gt;"-"</formula>
    </cfRule>
  </conditionalFormatting>
  <conditionalFormatting sqref="D83">
    <cfRule type="expression" dxfId="1061" priority="3014">
      <formula>$H83&lt;&gt;"-"</formula>
    </cfRule>
  </conditionalFormatting>
  <conditionalFormatting sqref="E83">
    <cfRule type="expression" dxfId="1060" priority="3013">
      <formula>$I83&lt;&gt;"-"</formula>
    </cfRule>
  </conditionalFormatting>
  <conditionalFormatting sqref="B93">
    <cfRule type="expression" dxfId="1059" priority="2974">
      <formula>AD93&lt;&gt;""</formula>
    </cfRule>
  </conditionalFormatting>
  <conditionalFormatting sqref="Z93">
    <cfRule type="cellIs" dxfId="1058" priority="2972" operator="greaterThan">
      <formula>0</formula>
    </cfRule>
    <cfRule type="cellIs" dxfId="1057" priority="2973" operator="lessThan">
      <formula>0</formula>
    </cfRule>
  </conditionalFormatting>
  <conditionalFormatting sqref="S93">
    <cfRule type="cellIs" dxfId="1056" priority="2971" operator="lessThan">
      <formula>0</formula>
    </cfRule>
  </conditionalFormatting>
  <conditionalFormatting sqref="P93">
    <cfRule type="cellIs" dxfId="1055" priority="2969" operator="equal">
      <formula>AS_DURATION_EFFORT</formula>
    </cfRule>
    <cfRule type="cellIs" dxfId="1054" priority="2970" operator="equal">
      <formula>AS_DEV_EFFORT</formula>
    </cfRule>
  </conditionalFormatting>
  <conditionalFormatting sqref="F93">
    <cfRule type="expression" dxfId="1053" priority="2968">
      <formula>$K93&lt;&gt;""</formula>
    </cfRule>
  </conditionalFormatting>
  <conditionalFormatting sqref="C93">
    <cfRule type="expression" dxfId="1052" priority="2967">
      <formula>$G93&lt;&gt;"-"</formula>
    </cfRule>
  </conditionalFormatting>
  <conditionalFormatting sqref="D93">
    <cfRule type="expression" dxfId="1051" priority="2966">
      <formula>$H93&lt;&gt;"-"</formula>
    </cfRule>
  </conditionalFormatting>
  <conditionalFormatting sqref="E93">
    <cfRule type="expression" dxfId="1050" priority="2965">
      <formula>$I93&lt;&gt;"-"</formula>
    </cfRule>
  </conditionalFormatting>
  <conditionalFormatting sqref="B92">
    <cfRule type="expression" dxfId="1049" priority="2962">
      <formula>AD92&lt;&gt;""</formula>
    </cfRule>
  </conditionalFormatting>
  <conditionalFormatting sqref="Z92">
    <cfRule type="cellIs" dxfId="1048" priority="2960" operator="greaterThan">
      <formula>0</formula>
    </cfRule>
    <cfRule type="cellIs" dxfId="1047" priority="2961" operator="lessThan">
      <formula>0</formula>
    </cfRule>
  </conditionalFormatting>
  <conditionalFormatting sqref="S92">
    <cfRule type="cellIs" dxfId="1046" priority="2959" operator="lessThan">
      <formula>0</formula>
    </cfRule>
  </conditionalFormatting>
  <conditionalFormatting sqref="P92">
    <cfRule type="cellIs" dxfId="1045" priority="2957" operator="equal">
      <formula>AS_DURATION_EFFORT</formula>
    </cfRule>
    <cfRule type="cellIs" dxfId="1044" priority="2958" operator="equal">
      <formula>AS_DEV_EFFORT</formula>
    </cfRule>
  </conditionalFormatting>
  <conditionalFormatting sqref="F92">
    <cfRule type="expression" dxfId="1043" priority="2956">
      <formula>$K92&lt;&gt;""</formula>
    </cfRule>
  </conditionalFormatting>
  <conditionalFormatting sqref="C92">
    <cfRule type="expression" dxfId="1042" priority="2955">
      <formula>$G92&lt;&gt;"-"</formula>
    </cfRule>
  </conditionalFormatting>
  <conditionalFormatting sqref="D92">
    <cfRule type="expression" dxfId="1041" priority="2954">
      <formula>$H92&lt;&gt;"-"</formula>
    </cfRule>
  </conditionalFormatting>
  <conditionalFormatting sqref="E92">
    <cfRule type="expression" dxfId="1040" priority="2953">
      <formula>$I92&lt;&gt;"-"</formula>
    </cfRule>
  </conditionalFormatting>
  <conditionalFormatting sqref="B91">
    <cfRule type="expression" dxfId="1039" priority="2950">
      <formula>AD91&lt;&gt;""</formula>
    </cfRule>
  </conditionalFormatting>
  <conditionalFormatting sqref="Z91">
    <cfRule type="cellIs" dxfId="1038" priority="2948" operator="greaterThan">
      <formula>0</formula>
    </cfRule>
    <cfRule type="cellIs" dxfId="1037" priority="2949" operator="lessThan">
      <formula>0</formula>
    </cfRule>
  </conditionalFormatting>
  <conditionalFormatting sqref="S91">
    <cfRule type="cellIs" dxfId="1036" priority="2947" operator="lessThan">
      <formula>0</formula>
    </cfRule>
  </conditionalFormatting>
  <conditionalFormatting sqref="P91">
    <cfRule type="cellIs" dxfId="1035" priority="2945" operator="equal">
      <formula>AS_DURATION_EFFORT</formula>
    </cfRule>
    <cfRule type="cellIs" dxfId="1034" priority="2946" operator="equal">
      <formula>AS_DEV_EFFORT</formula>
    </cfRule>
  </conditionalFormatting>
  <conditionalFormatting sqref="F91">
    <cfRule type="expression" dxfId="1033" priority="2944">
      <formula>$K91&lt;&gt;""</formula>
    </cfRule>
  </conditionalFormatting>
  <conditionalFormatting sqref="C91">
    <cfRule type="expression" dxfId="1032" priority="2943">
      <formula>$G91&lt;&gt;"-"</formula>
    </cfRule>
  </conditionalFormatting>
  <conditionalFormatting sqref="D91">
    <cfRule type="expression" dxfId="1031" priority="2942">
      <formula>$H91&lt;&gt;"-"</formula>
    </cfRule>
  </conditionalFormatting>
  <conditionalFormatting sqref="E91">
    <cfRule type="expression" dxfId="1030" priority="2941">
      <formula>$I91&lt;&gt;"-"</formula>
    </cfRule>
  </conditionalFormatting>
  <conditionalFormatting sqref="B90">
    <cfRule type="expression" dxfId="1029" priority="2938">
      <formula>AD90&lt;&gt;""</formula>
    </cfRule>
  </conditionalFormatting>
  <conditionalFormatting sqref="Z90">
    <cfRule type="cellIs" dxfId="1028" priority="2936" operator="greaterThan">
      <formula>0</formula>
    </cfRule>
    <cfRule type="cellIs" dxfId="1027" priority="2937" operator="lessThan">
      <formula>0</formula>
    </cfRule>
  </conditionalFormatting>
  <conditionalFormatting sqref="S90">
    <cfRule type="cellIs" dxfId="1026" priority="2935" operator="lessThan">
      <formula>0</formula>
    </cfRule>
  </conditionalFormatting>
  <conditionalFormatting sqref="P90">
    <cfRule type="cellIs" dxfId="1025" priority="2933" operator="equal">
      <formula>AS_DURATION_EFFORT</formula>
    </cfRule>
    <cfRule type="cellIs" dxfId="1024" priority="2934" operator="equal">
      <formula>AS_DEV_EFFORT</formula>
    </cfRule>
  </conditionalFormatting>
  <conditionalFormatting sqref="F90">
    <cfRule type="expression" dxfId="1023" priority="2932">
      <formula>$K90&lt;&gt;""</formula>
    </cfRule>
  </conditionalFormatting>
  <conditionalFormatting sqref="C90">
    <cfRule type="expression" dxfId="1022" priority="2931">
      <formula>$G90&lt;&gt;"-"</formula>
    </cfRule>
  </conditionalFormatting>
  <conditionalFormatting sqref="D90">
    <cfRule type="expression" dxfId="1021" priority="2930">
      <formula>$H90&lt;&gt;"-"</formula>
    </cfRule>
  </conditionalFormatting>
  <conditionalFormatting sqref="E90">
    <cfRule type="expression" dxfId="1020" priority="2929">
      <formula>$I90&lt;&gt;"-"</formula>
    </cfRule>
  </conditionalFormatting>
  <conditionalFormatting sqref="B89">
    <cfRule type="expression" dxfId="1019" priority="2914">
      <formula>AD89&lt;&gt;""</formula>
    </cfRule>
  </conditionalFormatting>
  <conditionalFormatting sqref="Z89">
    <cfRule type="cellIs" dxfId="1018" priority="2912" operator="greaterThan">
      <formula>0</formula>
    </cfRule>
    <cfRule type="cellIs" dxfId="1017" priority="2913" operator="lessThan">
      <formula>0</formula>
    </cfRule>
  </conditionalFormatting>
  <conditionalFormatting sqref="S89">
    <cfRule type="cellIs" dxfId="1016" priority="2911" operator="lessThan">
      <formula>0</formula>
    </cfRule>
  </conditionalFormatting>
  <conditionalFormatting sqref="P89">
    <cfRule type="cellIs" dxfId="1015" priority="2909" operator="equal">
      <formula>AS_DURATION_EFFORT</formula>
    </cfRule>
    <cfRule type="cellIs" dxfId="1014" priority="2910" operator="equal">
      <formula>AS_DEV_EFFORT</formula>
    </cfRule>
  </conditionalFormatting>
  <conditionalFormatting sqref="F89">
    <cfRule type="expression" dxfId="1013" priority="2908">
      <formula>$K89&lt;&gt;""</formula>
    </cfRule>
  </conditionalFormatting>
  <conditionalFormatting sqref="C89">
    <cfRule type="expression" dxfId="1012" priority="2907">
      <formula>$G89&lt;&gt;"-"</formula>
    </cfRule>
  </conditionalFormatting>
  <conditionalFormatting sqref="D89">
    <cfRule type="expression" dxfId="1011" priority="2906">
      <formula>$H89&lt;&gt;"-"</formula>
    </cfRule>
  </conditionalFormatting>
  <conditionalFormatting sqref="E89">
    <cfRule type="expression" dxfId="1010" priority="2905">
      <formula>$I89&lt;&gt;"-"</formula>
    </cfRule>
  </conditionalFormatting>
  <conditionalFormatting sqref="B88">
    <cfRule type="expression" dxfId="1009" priority="2902">
      <formula>AD88&lt;&gt;""</formula>
    </cfRule>
  </conditionalFormatting>
  <conditionalFormatting sqref="Z88">
    <cfRule type="cellIs" dxfId="1008" priority="2900" operator="greaterThan">
      <formula>0</formula>
    </cfRule>
    <cfRule type="cellIs" dxfId="1007" priority="2901" operator="lessThan">
      <formula>0</formula>
    </cfRule>
  </conditionalFormatting>
  <conditionalFormatting sqref="S88">
    <cfRule type="cellIs" dxfId="1006" priority="2899" operator="lessThan">
      <formula>0</formula>
    </cfRule>
  </conditionalFormatting>
  <conditionalFormatting sqref="P88">
    <cfRule type="cellIs" dxfId="1005" priority="2897" operator="equal">
      <formula>AS_DURATION_EFFORT</formula>
    </cfRule>
    <cfRule type="cellIs" dxfId="1004" priority="2898" operator="equal">
      <formula>AS_DEV_EFFORT</formula>
    </cfRule>
  </conditionalFormatting>
  <conditionalFormatting sqref="F88">
    <cfRule type="expression" dxfId="1003" priority="2896">
      <formula>$K88&lt;&gt;""</formula>
    </cfRule>
  </conditionalFormatting>
  <conditionalFormatting sqref="C88">
    <cfRule type="expression" dxfId="1002" priority="2895">
      <formula>$G88&lt;&gt;"-"</formula>
    </cfRule>
  </conditionalFormatting>
  <conditionalFormatting sqref="D88">
    <cfRule type="expression" dxfId="1001" priority="2894">
      <formula>$H88&lt;&gt;"-"</formula>
    </cfRule>
  </conditionalFormatting>
  <conditionalFormatting sqref="E88">
    <cfRule type="expression" dxfId="1000" priority="2893">
      <formula>$I88&lt;&gt;"-"</formula>
    </cfRule>
  </conditionalFormatting>
  <conditionalFormatting sqref="B103">
    <cfRule type="expression" dxfId="999" priority="2854">
      <formula>AD103&lt;&gt;""</formula>
    </cfRule>
  </conditionalFormatting>
  <conditionalFormatting sqref="Z103">
    <cfRule type="cellIs" dxfId="998" priority="2852" operator="greaterThan">
      <formula>0</formula>
    </cfRule>
    <cfRule type="cellIs" dxfId="997" priority="2853" operator="lessThan">
      <formula>0</formula>
    </cfRule>
  </conditionalFormatting>
  <conditionalFormatting sqref="S103">
    <cfRule type="cellIs" dxfId="996" priority="2851" operator="lessThan">
      <formula>0</formula>
    </cfRule>
  </conditionalFormatting>
  <conditionalFormatting sqref="P103">
    <cfRule type="cellIs" dxfId="995" priority="2849" operator="equal">
      <formula>AS_DURATION_EFFORT</formula>
    </cfRule>
    <cfRule type="cellIs" dxfId="994" priority="2850" operator="equal">
      <formula>AS_DEV_EFFORT</formula>
    </cfRule>
  </conditionalFormatting>
  <conditionalFormatting sqref="F103">
    <cfRule type="expression" dxfId="993" priority="2848">
      <formula>$K103&lt;&gt;""</formula>
    </cfRule>
  </conditionalFormatting>
  <conditionalFormatting sqref="C103">
    <cfRule type="expression" dxfId="992" priority="2847">
      <formula>$G103&lt;&gt;"-"</formula>
    </cfRule>
  </conditionalFormatting>
  <conditionalFormatting sqref="D103">
    <cfRule type="expression" dxfId="991" priority="2846">
      <formula>$H103&lt;&gt;"-"</formula>
    </cfRule>
  </conditionalFormatting>
  <conditionalFormatting sqref="E103">
    <cfRule type="expression" dxfId="990" priority="2845">
      <formula>$I103&lt;&gt;"-"</formula>
    </cfRule>
  </conditionalFormatting>
  <conditionalFormatting sqref="B102">
    <cfRule type="expression" dxfId="989" priority="2842">
      <formula>AD102&lt;&gt;""</formula>
    </cfRule>
  </conditionalFormatting>
  <conditionalFormatting sqref="Z102">
    <cfRule type="cellIs" dxfId="988" priority="2840" operator="greaterThan">
      <formula>0</formula>
    </cfRule>
    <cfRule type="cellIs" dxfId="987" priority="2841" operator="lessThan">
      <formula>0</formula>
    </cfRule>
  </conditionalFormatting>
  <conditionalFormatting sqref="S102">
    <cfRule type="cellIs" dxfId="986" priority="2839" operator="lessThan">
      <formula>0</formula>
    </cfRule>
  </conditionalFormatting>
  <conditionalFormatting sqref="P102">
    <cfRule type="cellIs" dxfId="985" priority="2837" operator="equal">
      <formula>AS_DURATION_EFFORT</formula>
    </cfRule>
    <cfRule type="cellIs" dxfId="984" priority="2838" operator="equal">
      <formula>AS_DEV_EFFORT</formula>
    </cfRule>
  </conditionalFormatting>
  <conditionalFormatting sqref="F102">
    <cfRule type="expression" dxfId="983" priority="2836">
      <formula>$K102&lt;&gt;""</formula>
    </cfRule>
  </conditionalFormatting>
  <conditionalFormatting sqref="C102">
    <cfRule type="expression" dxfId="982" priority="2835">
      <formula>$G102&lt;&gt;"-"</formula>
    </cfRule>
  </conditionalFormatting>
  <conditionalFormatting sqref="D102">
    <cfRule type="expression" dxfId="981" priority="2834">
      <formula>$H102&lt;&gt;"-"</formula>
    </cfRule>
  </conditionalFormatting>
  <conditionalFormatting sqref="E102">
    <cfRule type="expression" dxfId="980" priority="2833">
      <formula>$I102&lt;&gt;"-"</formula>
    </cfRule>
  </conditionalFormatting>
  <conditionalFormatting sqref="B101">
    <cfRule type="expression" dxfId="979" priority="2830">
      <formula>AD101&lt;&gt;""</formula>
    </cfRule>
  </conditionalFormatting>
  <conditionalFormatting sqref="Z101">
    <cfRule type="cellIs" dxfId="978" priority="2828" operator="greaterThan">
      <formula>0</formula>
    </cfRule>
    <cfRule type="cellIs" dxfId="977" priority="2829" operator="lessThan">
      <formula>0</formula>
    </cfRule>
  </conditionalFormatting>
  <conditionalFormatting sqref="S101">
    <cfRule type="cellIs" dxfId="976" priority="2827" operator="lessThan">
      <formula>0</formula>
    </cfRule>
  </conditionalFormatting>
  <conditionalFormatting sqref="P101">
    <cfRule type="cellIs" dxfId="975" priority="2825" operator="equal">
      <formula>AS_DURATION_EFFORT</formula>
    </cfRule>
    <cfRule type="cellIs" dxfId="974" priority="2826" operator="equal">
      <formula>AS_DEV_EFFORT</formula>
    </cfRule>
  </conditionalFormatting>
  <conditionalFormatting sqref="F101">
    <cfRule type="expression" dxfId="973" priority="2824">
      <formula>$K101&lt;&gt;""</formula>
    </cfRule>
  </conditionalFormatting>
  <conditionalFormatting sqref="C101">
    <cfRule type="expression" dxfId="972" priority="2823">
      <formula>$G101&lt;&gt;"-"</formula>
    </cfRule>
  </conditionalFormatting>
  <conditionalFormatting sqref="D101">
    <cfRule type="expression" dxfId="971" priority="2822">
      <formula>$H101&lt;&gt;"-"</formula>
    </cfRule>
  </conditionalFormatting>
  <conditionalFormatting sqref="E101">
    <cfRule type="expression" dxfId="970" priority="2821">
      <formula>$I101&lt;&gt;"-"</formula>
    </cfRule>
  </conditionalFormatting>
  <conditionalFormatting sqref="B110">
    <cfRule type="expression" dxfId="969" priority="2806">
      <formula>AD110&lt;&gt;""</formula>
    </cfRule>
  </conditionalFormatting>
  <conditionalFormatting sqref="Z110">
    <cfRule type="cellIs" dxfId="968" priority="2804" operator="greaterThan">
      <formula>0</formula>
    </cfRule>
    <cfRule type="cellIs" dxfId="967" priority="2805" operator="lessThan">
      <formula>0</formula>
    </cfRule>
  </conditionalFormatting>
  <conditionalFormatting sqref="S110">
    <cfRule type="cellIs" dxfId="966" priority="2803" operator="lessThan">
      <formula>0</formula>
    </cfRule>
  </conditionalFormatting>
  <conditionalFormatting sqref="P110">
    <cfRule type="cellIs" dxfId="965" priority="2801" operator="equal">
      <formula>AS_DURATION_EFFORT</formula>
    </cfRule>
    <cfRule type="cellIs" dxfId="964" priority="2802" operator="equal">
      <formula>AS_DEV_EFFORT</formula>
    </cfRule>
  </conditionalFormatting>
  <conditionalFormatting sqref="F110">
    <cfRule type="expression" dxfId="963" priority="2800">
      <formula>$K110&lt;&gt;""</formula>
    </cfRule>
  </conditionalFormatting>
  <conditionalFormatting sqref="C110">
    <cfRule type="expression" dxfId="962" priority="2799">
      <formula>$G110&lt;&gt;"-"</formula>
    </cfRule>
  </conditionalFormatting>
  <conditionalFormatting sqref="D110">
    <cfRule type="expression" dxfId="961" priority="2798">
      <formula>$H110&lt;&gt;"-"</formula>
    </cfRule>
  </conditionalFormatting>
  <conditionalFormatting sqref="E110">
    <cfRule type="expression" dxfId="960" priority="2797">
      <formula>$I110&lt;&gt;"-"</formula>
    </cfRule>
  </conditionalFormatting>
  <conditionalFormatting sqref="B109">
    <cfRule type="expression" dxfId="959" priority="2794">
      <formula>AD109&lt;&gt;""</formula>
    </cfRule>
  </conditionalFormatting>
  <conditionalFormatting sqref="Z109">
    <cfRule type="cellIs" dxfId="958" priority="2792" operator="greaterThan">
      <formula>0</formula>
    </cfRule>
    <cfRule type="cellIs" dxfId="957" priority="2793" operator="lessThan">
      <formula>0</formula>
    </cfRule>
  </conditionalFormatting>
  <conditionalFormatting sqref="S109">
    <cfRule type="cellIs" dxfId="956" priority="2791" operator="lessThan">
      <formula>0</formula>
    </cfRule>
  </conditionalFormatting>
  <conditionalFormatting sqref="P109">
    <cfRule type="cellIs" dxfId="955" priority="2789" operator="equal">
      <formula>AS_DURATION_EFFORT</formula>
    </cfRule>
    <cfRule type="cellIs" dxfId="954" priority="2790" operator="equal">
      <formula>AS_DEV_EFFORT</formula>
    </cfRule>
  </conditionalFormatting>
  <conditionalFormatting sqref="F109">
    <cfRule type="expression" dxfId="953" priority="2788">
      <formula>$K109&lt;&gt;""</formula>
    </cfRule>
  </conditionalFormatting>
  <conditionalFormatting sqref="C109">
    <cfRule type="expression" dxfId="952" priority="2787">
      <formula>$G109&lt;&gt;"-"</formula>
    </cfRule>
  </conditionalFormatting>
  <conditionalFormatting sqref="D109">
    <cfRule type="expression" dxfId="951" priority="2786">
      <formula>$H109&lt;&gt;"-"</formula>
    </cfRule>
  </conditionalFormatting>
  <conditionalFormatting sqref="E109">
    <cfRule type="expression" dxfId="950" priority="2785">
      <formula>$I109&lt;&gt;"-"</formula>
    </cfRule>
  </conditionalFormatting>
  <conditionalFormatting sqref="B108">
    <cfRule type="expression" dxfId="949" priority="2782">
      <formula>AD108&lt;&gt;""</formula>
    </cfRule>
  </conditionalFormatting>
  <conditionalFormatting sqref="Z108">
    <cfRule type="cellIs" dxfId="948" priority="2780" operator="greaterThan">
      <formula>0</formula>
    </cfRule>
    <cfRule type="cellIs" dxfId="947" priority="2781" operator="lessThan">
      <formula>0</formula>
    </cfRule>
  </conditionalFormatting>
  <conditionalFormatting sqref="S108">
    <cfRule type="cellIs" dxfId="946" priority="2779" operator="lessThan">
      <formula>0</formula>
    </cfRule>
  </conditionalFormatting>
  <conditionalFormatting sqref="P108">
    <cfRule type="cellIs" dxfId="945" priority="2777" operator="equal">
      <formula>AS_DURATION_EFFORT</formula>
    </cfRule>
    <cfRule type="cellIs" dxfId="944" priority="2778" operator="equal">
      <formula>AS_DEV_EFFORT</formula>
    </cfRule>
  </conditionalFormatting>
  <conditionalFormatting sqref="F108">
    <cfRule type="expression" dxfId="943" priority="2776">
      <formula>$K108&lt;&gt;""</formula>
    </cfRule>
  </conditionalFormatting>
  <conditionalFormatting sqref="C108">
    <cfRule type="expression" dxfId="942" priority="2775">
      <formula>$G108&lt;&gt;"-"</formula>
    </cfRule>
  </conditionalFormatting>
  <conditionalFormatting sqref="D108">
    <cfRule type="expression" dxfId="941" priority="2774">
      <formula>$H108&lt;&gt;"-"</formula>
    </cfRule>
  </conditionalFormatting>
  <conditionalFormatting sqref="E108">
    <cfRule type="expression" dxfId="940" priority="2773">
      <formula>$I108&lt;&gt;"-"</formula>
    </cfRule>
  </conditionalFormatting>
  <conditionalFormatting sqref="S182">
    <cfRule type="expression" dxfId="939" priority="2760">
      <formula>#REF!="Yes"</formula>
    </cfRule>
  </conditionalFormatting>
  <conditionalFormatting sqref="B182">
    <cfRule type="expression" dxfId="938" priority="2759">
      <formula>AD182&lt;&gt;""</formula>
    </cfRule>
  </conditionalFormatting>
  <conditionalFormatting sqref="B207">
    <cfRule type="expression" dxfId="937" priority="2725">
      <formula>AD207&lt;&gt;""</formula>
    </cfRule>
  </conditionalFormatting>
  <conditionalFormatting sqref="Z207">
    <cfRule type="cellIs" dxfId="936" priority="2723" operator="greaterThan">
      <formula>0</formula>
    </cfRule>
    <cfRule type="cellIs" dxfId="935" priority="2724" operator="lessThan">
      <formula>0</formula>
    </cfRule>
  </conditionalFormatting>
  <conditionalFormatting sqref="S207">
    <cfRule type="cellIs" dxfId="934" priority="2722" operator="lessThan">
      <formula>0</formula>
    </cfRule>
  </conditionalFormatting>
  <conditionalFormatting sqref="T205:T206">
    <cfRule type="expression" dxfId="933" priority="2726">
      <formula>#REF!="Yes"</formula>
    </cfRule>
  </conditionalFormatting>
  <conditionalFormatting sqref="P207">
    <cfRule type="cellIs" dxfId="932" priority="2720" operator="equal">
      <formula>AS_DURATION_EFFORT</formula>
    </cfRule>
    <cfRule type="cellIs" dxfId="931" priority="2721" operator="equal">
      <formula>AS_DEV_EFFORT</formula>
    </cfRule>
  </conditionalFormatting>
  <conditionalFormatting sqref="B205:B206">
    <cfRule type="expression" dxfId="930" priority="2719">
      <formula>AD205&lt;&gt;""</formula>
    </cfRule>
  </conditionalFormatting>
  <conditionalFormatting sqref="F207">
    <cfRule type="expression" dxfId="929" priority="2718">
      <formula>$K207&lt;&gt;""</formula>
    </cfRule>
  </conditionalFormatting>
  <conditionalFormatting sqref="C207">
    <cfRule type="expression" dxfId="928" priority="2717">
      <formula>$G207&lt;&gt;"-"</formula>
    </cfRule>
  </conditionalFormatting>
  <conditionalFormatting sqref="D207">
    <cfRule type="expression" dxfId="927" priority="2716">
      <formula>$H207&lt;&gt;"-"</formula>
    </cfRule>
  </conditionalFormatting>
  <conditionalFormatting sqref="E207">
    <cfRule type="expression" dxfId="926" priority="2715">
      <formula>$I207&lt;&gt;"-"</formula>
    </cfRule>
  </conditionalFormatting>
  <conditionalFormatting sqref="B208">
    <cfRule type="expression" dxfId="925" priority="2712">
      <formula>AD208&lt;&gt;""</formula>
    </cfRule>
  </conditionalFormatting>
  <conditionalFormatting sqref="Z208">
    <cfRule type="cellIs" dxfId="924" priority="2710" operator="greaterThan">
      <formula>0</formula>
    </cfRule>
    <cfRule type="cellIs" dxfId="923" priority="2711" operator="lessThan">
      <formula>0</formula>
    </cfRule>
  </conditionalFormatting>
  <conditionalFormatting sqref="S208">
    <cfRule type="cellIs" dxfId="922" priority="2709" operator="lessThan">
      <formula>0</formula>
    </cfRule>
  </conditionalFormatting>
  <conditionalFormatting sqref="F208">
    <cfRule type="expression" dxfId="921" priority="2706">
      <formula>$K208&lt;&gt;""</formula>
    </cfRule>
  </conditionalFormatting>
  <conditionalFormatting sqref="C208">
    <cfRule type="expression" dxfId="920" priority="2705">
      <formula>$G208&lt;&gt;"-"</formula>
    </cfRule>
  </conditionalFormatting>
  <conditionalFormatting sqref="D208">
    <cfRule type="expression" dxfId="919" priority="2704">
      <formula>$H208&lt;&gt;"-"</formula>
    </cfRule>
  </conditionalFormatting>
  <conditionalFormatting sqref="E208">
    <cfRule type="expression" dxfId="918" priority="2703">
      <formula>$I208&lt;&gt;"-"</formula>
    </cfRule>
  </conditionalFormatting>
  <conditionalFormatting sqref="B212">
    <cfRule type="expression" dxfId="917" priority="2699">
      <formula>AD212&lt;&gt;""</formula>
    </cfRule>
  </conditionalFormatting>
  <conditionalFormatting sqref="Z212">
    <cfRule type="cellIs" dxfId="916" priority="2697" operator="greaterThan">
      <formula>0</formula>
    </cfRule>
    <cfRule type="cellIs" dxfId="915" priority="2698" operator="lessThan">
      <formula>0</formula>
    </cfRule>
  </conditionalFormatting>
  <conditionalFormatting sqref="S212">
    <cfRule type="cellIs" dxfId="914" priority="2696" operator="lessThan">
      <formula>0</formula>
    </cfRule>
  </conditionalFormatting>
  <conditionalFormatting sqref="T210:T211">
    <cfRule type="expression" dxfId="913" priority="2700">
      <formula>#REF!="Yes"</formula>
    </cfRule>
  </conditionalFormatting>
  <conditionalFormatting sqref="B210:B211">
    <cfRule type="expression" dxfId="912" priority="2693">
      <formula>AD210&lt;&gt;""</formula>
    </cfRule>
  </conditionalFormatting>
  <conditionalFormatting sqref="F212">
    <cfRule type="expression" dxfId="911" priority="2692">
      <formula>$K212&lt;&gt;""</formula>
    </cfRule>
  </conditionalFormatting>
  <conditionalFormatting sqref="C212">
    <cfRule type="expression" dxfId="910" priority="2691">
      <formula>$G212&lt;&gt;"-"</formula>
    </cfRule>
  </conditionalFormatting>
  <conditionalFormatting sqref="D212">
    <cfRule type="expression" dxfId="909" priority="2690">
      <formula>$H212&lt;&gt;"-"</formula>
    </cfRule>
  </conditionalFormatting>
  <conditionalFormatting sqref="E212">
    <cfRule type="expression" dxfId="908" priority="2689">
      <formula>$I212&lt;&gt;"-"</formula>
    </cfRule>
  </conditionalFormatting>
  <conditionalFormatting sqref="B213">
    <cfRule type="expression" dxfId="907" priority="2686">
      <formula>AD213&lt;&gt;""</formula>
    </cfRule>
  </conditionalFormatting>
  <conditionalFormatting sqref="Z213">
    <cfRule type="cellIs" dxfId="906" priority="2684" operator="greaterThan">
      <formula>0</formula>
    </cfRule>
    <cfRule type="cellIs" dxfId="905" priority="2685" operator="lessThan">
      <formula>0</formula>
    </cfRule>
  </conditionalFormatting>
  <conditionalFormatting sqref="S213">
    <cfRule type="cellIs" dxfId="904" priority="2683" operator="lessThan">
      <formula>0</formula>
    </cfRule>
  </conditionalFormatting>
  <conditionalFormatting sqref="P214">
    <cfRule type="cellIs" dxfId="903" priority="2647" operator="equal">
      <formula>AS_DURATION_EFFORT</formula>
    </cfRule>
    <cfRule type="cellIs" dxfId="902" priority="2648" operator="equal">
      <formula>AS_DEV_EFFORT</formula>
    </cfRule>
  </conditionalFormatting>
  <conditionalFormatting sqref="F213">
    <cfRule type="expression" dxfId="901" priority="2680">
      <formula>$K213&lt;&gt;""</formula>
    </cfRule>
  </conditionalFormatting>
  <conditionalFormatting sqref="C213">
    <cfRule type="expression" dxfId="900" priority="2679">
      <formula>$G213&lt;&gt;"-"</formula>
    </cfRule>
  </conditionalFormatting>
  <conditionalFormatting sqref="D213">
    <cfRule type="expression" dxfId="899" priority="2678">
      <formula>$H213&lt;&gt;"-"</formula>
    </cfRule>
  </conditionalFormatting>
  <conditionalFormatting sqref="E213">
    <cfRule type="expression" dxfId="898" priority="2677">
      <formula>$I213&lt;&gt;"-"</formula>
    </cfRule>
  </conditionalFormatting>
  <conditionalFormatting sqref="B215">
    <cfRule type="expression" dxfId="897" priority="2674">
      <formula>AD215&lt;&gt;""</formula>
    </cfRule>
  </conditionalFormatting>
  <conditionalFormatting sqref="Z215">
    <cfRule type="cellIs" dxfId="896" priority="2672" operator="greaterThan">
      <formula>0</formula>
    </cfRule>
    <cfRule type="cellIs" dxfId="895" priority="2673" operator="lessThan">
      <formula>0</formula>
    </cfRule>
  </conditionalFormatting>
  <conditionalFormatting sqref="S215">
    <cfRule type="cellIs" dxfId="894" priority="2671" operator="lessThan">
      <formula>0</formula>
    </cfRule>
  </conditionalFormatting>
  <conditionalFormatting sqref="P215">
    <cfRule type="cellIs" dxfId="893" priority="2669" operator="equal">
      <formula>AS_DURATION_EFFORT</formula>
    </cfRule>
    <cfRule type="cellIs" dxfId="892" priority="2670" operator="equal">
      <formula>AS_DEV_EFFORT</formula>
    </cfRule>
  </conditionalFormatting>
  <conditionalFormatting sqref="F215">
    <cfRule type="expression" dxfId="891" priority="2668">
      <formula>$K215&lt;&gt;""</formula>
    </cfRule>
  </conditionalFormatting>
  <conditionalFormatting sqref="C215">
    <cfRule type="expression" dxfId="890" priority="2667">
      <formula>$G215&lt;&gt;"-"</formula>
    </cfRule>
  </conditionalFormatting>
  <conditionalFormatting sqref="D215">
    <cfRule type="expression" dxfId="889" priority="2666">
      <formula>$H215&lt;&gt;"-"</formula>
    </cfRule>
  </conditionalFormatting>
  <conditionalFormatting sqref="E215">
    <cfRule type="expression" dxfId="888" priority="2665">
      <formula>$I215&lt;&gt;"-"</formula>
    </cfRule>
  </conditionalFormatting>
  <conditionalFormatting sqref="B214">
    <cfRule type="expression" dxfId="887" priority="2662">
      <formula>AD214&lt;&gt;""</formula>
    </cfRule>
  </conditionalFormatting>
  <conditionalFormatting sqref="Z214">
    <cfRule type="cellIs" dxfId="886" priority="2660" operator="greaterThan">
      <formula>0</formula>
    </cfRule>
    <cfRule type="cellIs" dxfId="885" priority="2661" operator="lessThan">
      <formula>0</formula>
    </cfRule>
  </conditionalFormatting>
  <conditionalFormatting sqref="S214">
    <cfRule type="cellIs" dxfId="884" priority="2659" operator="lessThan">
      <formula>0</formula>
    </cfRule>
  </conditionalFormatting>
  <conditionalFormatting sqref="P212">
    <cfRule type="cellIs" dxfId="883" priority="2649" operator="equal">
      <formula>AS_DURATION_EFFORT</formula>
    </cfRule>
    <cfRule type="cellIs" dxfId="882" priority="2650" operator="equal">
      <formula>AS_DEV_EFFORT</formula>
    </cfRule>
  </conditionalFormatting>
  <conditionalFormatting sqref="F214">
    <cfRule type="expression" dxfId="881" priority="2656">
      <formula>$K214&lt;&gt;""</formula>
    </cfRule>
  </conditionalFormatting>
  <conditionalFormatting sqref="C214">
    <cfRule type="expression" dxfId="880" priority="2655">
      <formula>$G214&lt;&gt;"-"</formula>
    </cfRule>
  </conditionalFormatting>
  <conditionalFormatting sqref="D214">
    <cfRule type="expression" dxfId="879" priority="2654">
      <formula>$H214&lt;&gt;"-"</formula>
    </cfRule>
  </conditionalFormatting>
  <conditionalFormatting sqref="E214">
    <cfRule type="expression" dxfId="878" priority="2653">
      <formula>$I214&lt;&gt;"-"</formula>
    </cfRule>
  </conditionalFormatting>
  <conditionalFormatting sqref="P220">
    <cfRule type="cellIs" dxfId="877" priority="2623" operator="equal">
      <formula>AS_DURATION_EFFORT</formula>
    </cfRule>
    <cfRule type="cellIs" dxfId="876" priority="2624" operator="equal">
      <formula>AS_DEV_EFFORT</formula>
    </cfRule>
  </conditionalFormatting>
  <conditionalFormatting sqref="P213:P214">
    <cfRule type="cellIs" dxfId="875" priority="2645" operator="equal">
      <formula>AS_DURATION_EFFORT</formula>
    </cfRule>
    <cfRule type="cellIs" dxfId="874" priority="2646" operator="equal">
      <formula>AS_DEV_EFFORT</formula>
    </cfRule>
  </conditionalFormatting>
  <conditionalFormatting sqref="T217:T218">
    <cfRule type="expression" dxfId="873" priority="2642">
      <formula>#REF!="Yes"</formula>
    </cfRule>
  </conditionalFormatting>
  <conditionalFormatting sqref="B217:B218">
    <cfRule type="expression" dxfId="872" priority="2635">
      <formula>AD217&lt;&gt;""</formula>
    </cfRule>
  </conditionalFormatting>
  <conditionalFormatting sqref="B220">
    <cfRule type="expression" dxfId="871" priority="2628">
      <formula>AD220&lt;&gt;""</formula>
    </cfRule>
  </conditionalFormatting>
  <conditionalFormatting sqref="Z220">
    <cfRule type="cellIs" dxfId="870" priority="2626" operator="greaterThan">
      <formula>0</formula>
    </cfRule>
    <cfRule type="cellIs" dxfId="869" priority="2627" operator="lessThan">
      <formula>0</formula>
    </cfRule>
  </conditionalFormatting>
  <conditionalFormatting sqref="S220">
    <cfRule type="cellIs" dxfId="868" priority="2625" operator="lessThan">
      <formula>0</formula>
    </cfRule>
  </conditionalFormatting>
  <conditionalFormatting sqref="P219">
    <cfRule type="cellIs" dxfId="867" priority="2611" operator="equal">
      <formula>AS_DURATION_EFFORT</formula>
    </cfRule>
    <cfRule type="cellIs" dxfId="866" priority="2612" operator="equal">
      <formula>AS_DEV_EFFORT</formula>
    </cfRule>
  </conditionalFormatting>
  <conditionalFormatting sqref="F220">
    <cfRule type="expression" dxfId="865" priority="2622">
      <formula>$K220&lt;&gt;""</formula>
    </cfRule>
  </conditionalFormatting>
  <conditionalFormatting sqref="C220">
    <cfRule type="expression" dxfId="864" priority="2621">
      <formula>$G220&lt;&gt;"-"</formula>
    </cfRule>
  </conditionalFormatting>
  <conditionalFormatting sqref="D220">
    <cfRule type="expression" dxfId="863" priority="2620">
      <formula>$H220&lt;&gt;"-"</formula>
    </cfRule>
  </conditionalFormatting>
  <conditionalFormatting sqref="E220">
    <cfRule type="expression" dxfId="862" priority="2619">
      <formula>$I220&lt;&gt;"-"</formula>
    </cfRule>
  </conditionalFormatting>
  <conditionalFormatting sqref="B219">
    <cfRule type="expression" dxfId="861" priority="2616">
      <formula>AD219&lt;&gt;""</formula>
    </cfRule>
  </conditionalFormatting>
  <conditionalFormatting sqref="Z219">
    <cfRule type="cellIs" dxfId="860" priority="2614" operator="greaterThan">
      <formula>0</formula>
    </cfRule>
    <cfRule type="cellIs" dxfId="859" priority="2615" operator="lessThan">
      <formula>0</formula>
    </cfRule>
  </conditionalFormatting>
  <conditionalFormatting sqref="S219">
    <cfRule type="cellIs" dxfId="858" priority="2613" operator="lessThan">
      <formula>0</formula>
    </cfRule>
  </conditionalFormatting>
  <conditionalFormatting sqref="F219">
    <cfRule type="expression" dxfId="857" priority="2610">
      <formula>$K219&lt;&gt;""</formula>
    </cfRule>
  </conditionalFormatting>
  <conditionalFormatting sqref="C219">
    <cfRule type="expression" dxfId="856" priority="2609">
      <formula>$G219&lt;&gt;"-"</formula>
    </cfRule>
  </conditionalFormatting>
  <conditionalFormatting sqref="D219">
    <cfRule type="expression" dxfId="855" priority="2608">
      <formula>$H219&lt;&gt;"-"</formula>
    </cfRule>
  </conditionalFormatting>
  <conditionalFormatting sqref="E219">
    <cfRule type="expression" dxfId="854" priority="2607">
      <formula>$I219&lt;&gt;"-"</formula>
    </cfRule>
  </conditionalFormatting>
  <conditionalFormatting sqref="B229">
    <cfRule type="expression" dxfId="853" priority="2563">
      <formula>AD229&lt;&gt;""</formula>
    </cfRule>
  </conditionalFormatting>
  <conditionalFormatting sqref="Z229">
    <cfRule type="cellIs" dxfId="852" priority="2561" operator="greaterThan">
      <formula>0</formula>
    </cfRule>
    <cfRule type="cellIs" dxfId="851" priority="2562" operator="lessThan">
      <formula>0</formula>
    </cfRule>
  </conditionalFormatting>
  <conditionalFormatting sqref="S229">
    <cfRule type="cellIs" dxfId="850" priority="2560" operator="lessThan">
      <formula>0</formula>
    </cfRule>
  </conditionalFormatting>
  <conditionalFormatting sqref="T227:T228">
    <cfRule type="expression" dxfId="849" priority="2564">
      <formula>#REF!="Yes"</formula>
    </cfRule>
  </conditionalFormatting>
  <conditionalFormatting sqref="P229">
    <cfRule type="cellIs" dxfId="848" priority="2558" operator="equal">
      <formula>AS_DURATION_EFFORT</formula>
    </cfRule>
    <cfRule type="cellIs" dxfId="847" priority="2559" operator="equal">
      <formula>AS_DEV_EFFORT</formula>
    </cfRule>
  </conditionalFormatting>
  <conditionalFormatting sqref="B227:B228">
    <cfRule type="expression" dxfId="846" priority="2557">
      <formula>AD227&lt;&gt;""</formula>
    </cfRule>
  </conditionalFormatting>
  <conditionalFormatting sqref="F229">
    <cfRule type="expression" dxfId="845" priority="2556">
      <formula>$K229&lt;&gt;""</formula>
    </cfRule>
  </conditionalFormatting>
  <conditionalFormatting sqref="C229">
    <cfRule type="expression" dxfId="844" priority="2555">
      <formula>$G229&lt;&gt;"-"</formula>
    </cfRule>
  </conditionalFormatting>
  <conditionalFormatting sqref="D229">
    <cfRule type="expression" dxfId="843" priority="2554">
      <formula>$H229&lt;&gt;"-"</formula>
    </cfRule>
  </conditionalFormatting>
  <conditionalFormatting sqref="E229">
    <cfRule type="expression" dxfId="842" priority="2553">
      <formula>$I229&lt;&gt;"-"</formula>
    </cfRule>
  </conditionalFormatting>
  <conditionalFormatting sqref="B230">
    <cfRule type="expression" dxfId="841" priority="2550">
      <formula>AD230&lt;&gt;""</formula>
    </cfRule>
  </conditionalFormatting>
  <conditionalFormatting sqref="Z230">
    <cfRule type="cellIs" dxfId="840" priority="2548" operator="greaterThan">
      <formula>0</formula>
    </cfRule>
    <cfRule type="cellIs" dxfId="839" priority="2549" operator="lessThan">
      <formula>0</formula>
    </cfRule>
  </conditionalFormatting>
  <conditionalFormatting sqref="S230">
    <cfRule type="cellIs" dxfId="838" priority="2547" operator="lessThan">
      <formula>0</formula>
    </cfRule>
  </conditionalFormatting>
  <conditionalFormatting sqref="P230">
    <cfRule type="cellIs" dxfId="837" priority="2545" operator="equal">
      <formula>AS_DURATION_EFFORT</formula>
    </cfRule>
    <cfRule type="cellIs" dxfId="836" priority="2546" operator="equal">
      <formula>AS_DEV_EFFORT</formula>
    </cfRule>
  </conditionalFormatting>
  <conditionalFormatting sqref="F230">
    <cfRule type="expression" dxfId="835" priority="2544">
      <formula>$K230&lt;&gt;""</formula>
    </cfRule>
  </conditionalFormatting>
  <conditionalFormatting sqref="C230">
    <cfRule type="expression" dxfId="834" priority="2543">
      <formula>$G230&lt;&gt;"-"</formula>
    </cfRule>
  </conditionalFormatting>
  <conditionalFormatting sqref="D230">
    <cfRule type="expression" dxfId="833" priority="2542">
      <formula>$H230&lt;&gt;"-"</formula>
    </cfRule>
  </conditionalFormatting>
  <conditionalFormatting sqref="E230">
    <cfRule type="expression" dxfId="832" priority="2541">
      <formula>$I230&lt;&gt;"-"</formula>
    </cfRule>
  </conditionalFormatting>
  <conditionalFormatting sqref="B234">
    <cfRule type="expression" dxfId="831" priority="2537">
      <formula>AD234&lt;&gt;""</formula>
    </cfRule>
  </conditionalFormatting>
  <conditionalFormatting sqref="Z234">
    <cfRule type="cellIs" dxfId="830" priority="2535" operator="greaterThan">
      <formula>0</formula>
    </cfRule>
    <cfRule type="cellIs" dxfId="829" priority="2536" operator="lessThan">
      <formula>0</formula>
    </cfRule>
  </conditionalFormatting>
  <conditionalFormatting sqref="S234">
    <cfRule type="cellIs" dxfId="828" priority="2534" operator="lessThan">
      <formula>0</formula>
    </cfRule>
  </conditionalFormatting>
  <conditionalFormatting sqref="T232:T233">
    <cfRule type="expression" dxfId="827" priority="2538">
      <formula>#REF!="Yes"</formula>
    </cfRule>
  </conditionalFormatting>
  <conditionalFormatting sqref="P234">
    <cfRule type="cellIs" dxfId="826" priority="2532" operator="equal">
      <formula>AS_DURATION_EFFORT</formula>
    </cfRule>
    <cfRule type="cellIs" dxfId="825" priority="2533" operator="equal">
      <formula>AS_DEV_EFFORT</formula>
    </cfRule>
  </conditionalFormatting>
  <conditionalFormatting sqref="B232:B233">
    <cfRule type="expression" dxfId="824" priority="2531">
      <formula>AD232&lt;&gt;""</formula>
    </cfRule>
  </conditionalFormatting>
  <conditionalFormatting sqref="F234">
    <cfRule type="expression" dxfId="823" priority="2530">
      <formula>$K234&lt;&gt;""</formula>
    </cfRule>
  </conditionalFormatting>
  <conditionalFormatting sqref="C234">
    <cfRule type="expression" dxfId="822" priority="2529">
      <formula>$G234&lt;&gt;"-"</formula>
    </cfRule>
  </conditionalFormatting>
  <conditionalFormatting sqref="D234">
    <cfRule type="expression" dxfId="821" priority="2528">
      <formula>$H234&lt;&gt;"-"</formula>
    </cfRule>
  </conditionalFormatting>
  <conditionalFormatting sqref="E234">
    <cfRule type="expression" dxfId="820" priority="2527">
      <formula>$I234&lt;&gt;"-"</formula>
    </cfRule>
  </conditionalFormatting>
  <conditionalFormatting sqref="B238">
    <cfRule type="expression" dxfId="819" priority="2499">
      <formula>AD238&lt;&gt;""</formula>
    </cfRule>
  </conditionalFormatting>
  <conditionalFormatting sqref="Z238">
    <cfRule type="cellIs" dxfId="818" priority="2497" operator="greaterThan">
      <formula>0</formula>
    </cfRule>
    <cfRule type="cellIs" dxfId="817" priority="2498" operator="lessThan">
      <formula>0</formula>
    </cfRule>
  </conditionalFormatting>
  <conditionalFormatting sqref="S238">
    <cfRule type="cellIs" dxfId="816" priority="2496" operator="lessThan">
      <formula>0</formula>
    </cfRule>
  </conditionalFormatting>
  <conditionalFormatting sqref="T236:T237">
    <cfRule type="expression" dxfId="815" priority="2500">
      <formula>#REF!="Yes"</formula>
    </cfRule>
  </conditionalFormatting>
  <conditionalFormatting sqref="P238">
    <cfRule type="cellIs" dxfId="814" priority="2494" operator="equal">
      <formula>AS_DURATION_EFFORT</formula>
    </cfRule>
    <cfRule type="cellIs" dxfId="813" priority="2495" operator="equal">
      <formula>AS_DEV_EFFORT</formula>
    </cfRule>
  </conditionalFormatting>
  <conditionalFormatting sqref="B236:B237">
    <cfRule type="expression" dxfId="812" priority="2493">
      <formula>AD236&lt;&gt;""</formula>
    </cfRule>
  </conditionalFormatting>
  <conditionalFormatting sqref="F238">
    <cfRule type="expression" dxfId="811" priority="2492">
      <formula>$K238&lt;&gt;""</formula>
    </cfRule>
  </conditionalFormatting>
  <conditionalFormatting sqref="C238">
    <cfRule type="expression" dxfId="810" priority="2491">
      <formula>$G238&lt;&gt;"-"</formula>
    </cfRule>
  </conditionalFormatting>
  <conditionalFormatting sqref="D238">
    <cfRule type="expression" dxfId="809" priority="2490">
      <formula>$H238&lt;&gt;"-"</formula>
    </cfRule>
  </conditionalFormatting>
  <conditionalFormatting sqref="E238">
    <cfRule type="expression" dxfId="808" priority="2489">
      <formula>$I238&lt;&gt;"-"</formula>
    </cfRule>
  </conditionalFormatting>
  <conditionalFormatting sqref="B242">
    <cfRule type="expression" dxfId="807" priority="2473">
      <formula>AD242&lt;&gt;""</formula>
    </cfRule>
  </conditionalFormatting>
  <conditionalFormatting sqref="Z242">
    <cfRule type="cellIs" dxfId="806" priority="2471" operator="greaterThan">
      <formula>0</formula>
    </cfRule>
    <cfRule type="cellIs" dxfId="805" priority="2472" operator="lessThan">
      <formula>0</formula>
    </cfRule>
  </conditionalFormatting>
  <conditionalFormatting sqref="S242">
    <cfRule type="cellIs" dxfId="804" priority="2470" operator="lessThan">
      <formula>0</formula>
    </cfRule>
  </conditionalFormatting>
  <conditionalFormatting sqref="T240:T241">
    <cfRule type="expression" dxfId="803" priority="2474">
      <formula>#REF!="Yes"</formula>
    </cfRule>
  </conditionalFormatting>
  <conditionalFormatting sqref="P242">
    <cfRule type="cellIs" dxfId="802" priority="2468" operator="equal">
      <formula>AS_DURATION_EFFORT</formula>
    </cfRule>
    <cfRule type="cellIs" dxfId="801" priority="2469" operator="equal">
      <formula>AS_DEV_EFFORT</formula>
    </cfRule>
  </conditionalFormatting>
  <conditionalFormatting sqref="B240:B241">
    <cfRule type="expression" dxfId="800" priority="2467">
      <formula>AD240&lt;&gt;""</formula>
    </cfRule>
  </conditionalFormatting>
  <conditionalFormatting sqref="F242">
    <cfRule type="expression" dxfId="799" priority="2466">
      <formula>$K242&lt;&gt;""</formula>
    </cfRule>
  </conditionalFormatting>
  <conditionalFormatting sqref="C242">
    <cfRule type="expression" dxfId="798" priority="2465">
      <formula>$G242&lt;&gt;"-"</formula>
    </cfRule>
  </conditionalFormatting>
  <conditionalFormatting sqref="D242">
    <cfRule type="expression" dxfId="797" priority="2464">
      <formula>$H242&lt;&gt;"-"</formula>
    </cfRule>
  </conditionalFormatting>
  <conditionalFormatting sqref="E242">
    <cfRule type="expression" dxfId="796" priority="2463">
      <formula>$I242&lt;&gt;"-"</formula>
    </cfRule>
  </conditionalFormatting>
  <conditionalFormatting sqref="B245">
    <cfRule type="expression" dxfId="795" priority="2460">
      <formula>AD245&lt;&gt;""</formula>
    </cfRule>
  </conditionalFormatting>
  <conditionalFormatting sqref="Z245">
    <cfRule type="cellIs" dxfId="794" priority="2458" operator="greaterThan">
      <formula>0</formula>
    </cfRule>
    <cfRule type="cellIs" dxfId="793" priority="2459" operator="lessThan">
      <formula>0</formula>
    </cfRule>
  </conditionalFormatting>
  <conditionalFormatting sqref="S245">
    <cfRule type="cellIs" dxfId="792" priority="2457" operator="lessThan">
      <formula>0</formula>
    </cfRule>
  </conditionalFormatting>
  <conditionalFormatting sqref="P245">
    <cfRule type="cellIs" dxfId="791" priority="2455" operator="equal">
      <formula>AS_DURATION_EFFORT</formula>
    </cfRule>
    <cfRule type="cellIs" dxfId="790" priority="2456" operator="equal">
      <formula>AS_DEV_EFFORT</formula>
    </cfRule>
  </conditionalFormatting>
  <conditionalFormatting sqref="F245">
    <cfRule type="expression" dxfId="789" priority="2454">
      <formula>$K245&lt;&gt;""</formula>
    </cfRule>
  </conditionalFormatting>
  <conditionalFormatting sqref="C245">
    <cfRule type="expression" dxfId="788" priority="2453">
      <formula>$G245&lt;&gt;"-"</formula>
    </cfRule>
  </conditionalFormatting>
  <conditionalFormatting sqref="D245">
    <cfRule type="expression" dxfId="787" priority="2452">
      <formula>$H245&lt;&gt;"-"</formula>
    </cfRule>
  </conditionalFormatting>
  <conditionalFormatting sqref="E245">
    <cfRule type="expression" dxfId="786" priority="2451">
      <formula>$I245&lt;&gt;"-"</formula>
    </cfRule>
  </conditionalFormatting>
  <conditionalFormatting sqref="B244">
    <cfRule type="expression" dxfId="785" priority="2448">
      <formula>AD244&lt;&gt;""</formula>
    </cfRule>
  </conditionalFormatting>
  <conditionalFormatting sqref="Z244">
    <cfRule type="cellIs" dxfId="784" priority="2446" operator="greaterThan">
      <formula>0</formula>
    </cfRule>
    <cfRule type="cellIs" dxfId="783" priority="2447" operator="lessThan">
      <formula>0</formula>
    </cfRule>
  </conditionalFormatting>
  <conditionalFormatting sqref="S244">
    <cfRule type="cellIs" dxfId="782" priority="2445" operator="lessThan">
      <formula>0</formula>
    </cfRule>
  </conditionalFormatting>
  <conditionalFormatting sqref="P244">
    <cfRule type="cellIs" dxfId="781" priority="2443" operator="equal">
      <formula>AS_DURATION_EFFORT</formula>
    </cfRule>
    <cfRule type="cellIs" dxfId="780" priority="2444" operator="equal">
      <formula>AS_DEV_EFFORT</formula>
    </cfRule>
  </conditionalFormatting>
  <conditionalFormatting sqref="F244">
    <cfRule type="expression" dxfId="779" priority="2442">
      <formula>$K244&lt;&gt;""</formula>
    </cfRule>
  </conditionalFormatting>
  <conditionalFormatting sqref="C244">
    <cfRule type="expression" dxfId="778" priority="2441">
      <formula>$G244&lt;&gt;"-"</formula>
    </cfRule>
  </conditionalFormatting>
  <conditionalFormatting sqref="D244">
    <cfRule type="expression" dxfId="777" priority="2440">
      <formula>$H244&lt;&gt;"-"</formula>
    </cfRule>
  </conditionalFormatting>
  <conditionalFormatting sqref="E244">
    <cfRule type="expression" dxfId="776" priority="2439">
      <formula>$I244&lt;&gt;"-"</formula>
    </cfRule>
  </conditionalFormatting>
  <conditionalFormatting sqref="B243">
    <cfRule type="expression" dxfId="775" priority="2436">
      <formula>AD243&lt;&gt;""</formula>
    </cfRule>
  </conditionalFormatting>
  <conditionalFormatting sqref="Z243">
    <cfRule type="cellIs" dxfId="774" priority="2434" operator="greaterThan">
      <formula>0</formula>
    </cfRule>
    <cfRule type="cellIs" dxfId="773" priority="2435" operator="lessThan">
      <formula>0</formula>
    </cfRule>
  </conditionalFormatting>
  <conditionalFormatting sqref="S243">
    <cfRule type="cellIs" dxfId="772" priority="2433" operator="lessThan">
      <formula>0</formula>
    </cfRule>
  </conditionalFormatting>
  <conditionalFormatting sqref="P243">
    <cfRule type="cellIs" dxfId="771" priority="2431" operator="equal">
      <formula>AS_DURATION_EFFORT</formula>
    </cfRule>
    <cfRule type="cellIs" dxfId="770" priority="2432" operator="equal">
      <formula>AS_DEV_EFFORT</formula>
    </cfRule>
  </conditionalFormatting>
  <conditionalFormatting sqref="F243">
    <cfRule type="expression" dxfId="769" priority="2430">
      <formula>$K243&lt;&gt;""</formula>
    </cfRule>
  </conditionalFormatting>
  <conditionalFormatting sqref="C243">
    <cfRule type="expression" dxfId="768" priority="2429">
      <formula>$G243&lt;&gt;"-"</formula>
    </cfRule>
  </conditionalFormatting>
  <conditionalFormatting sqref="D243">
    <cfRule type="expression" dxfId="767" priority="2428">
      <formula>$H243&lt;&gt;"-"</formula>
    </cfRule>
  </conditionalFormatting>
  <conditionalFormatting sqref="E243">
    <cfRule type="expression" dxfId="766" priority="2427">
      <formula>$I243&lt;&gt;"-"</formula>
    </cfRule>
  </conditionalFormatting>
  <conditionalFormatting sqref="B252">
    <cfRule type="expression" dxfId="765" priority="2417">
      <formula>AD252&lt;&gt;""</formula>
    </cfRule>
  </conditionalFormatting>
  <conditionalFormatting sqref="Z252">
    <cfRule type="cellIs" dxfId="764" priority="2415" operator="greaterThan">
      <formula>0</formula>
    </cfRule>
    <cfRule type="cellIs" dxfId="763" priority="2416" operator="lessThan">
      <formula>0</formula>
    </cfRule>
  </conditionalFormatting>
  <conditionalFormatting sqref="S252">
    <cfRule type="cellIs" dxfId="762" priority="2414" operator="lessThan">
      <formula>0</formula>
    </cfRule>
  </conditionalFormatting>
  <conditionalFormatting sqref="T250:T251">
    <cfRule type="expression" dxfId="761" priority="2418">
      <formula>#REF!="Yes"</formula>
    </cfRule>
  </conditionalFormatting>
  <conditionalFormatting sqref="P252">
    <cfRule type="cellIs" dxfId="760" priority="2412" operator="equal">
      <formula>AS_DURATION_EFFORT</formula>
    </cfRule>
    <cfRule type="cellIs" dxfId="759" priority="2413" operator="equal">
      <formula>AS_DEV_EFFORT</formula>
    </cfRule>
  </conditionalFormatting>
  <conditionalFormatting sqref="B250:B251">
    <cfRule type="expression" dxfId="758" priority="2411">
      <formula>AD250&lt;&gt;""</formula>
    </cfRule>
  </conditionalFormatting>
  <conditionalFormatting sqref="F252">
    <cfRule type="expression" dxfId="757" priority="2410">
      <formula>$K252&lt;&gt;""</formula>
    </cfRule>
  </conditionalFormatting>
  <conditionalFormatting sqref="C252">
    <cfRule type="expression" dxfId="756" priority="2409">
      <formula>$G252&lt;&gt;"-"</formula>
    </cfRule>
  </conditionalFormatting>
  <conditionalFormatting sqref="D252">
    <cfRule type="expression" dxfId="755" priority="2408">
      <formula>$H252&lt;&gt;"-"</formula>
    </cfRule>
  </conditionalFormatting>
  <conditionalFormatting sqref="E252">
    <cfRule type="expression" dxfId="754" priority="2407">
      <formula>$I252&lt;&gt;"-"</formula>
    </cfRule>
  </conditionalFormatting>
  <conditionalFormatting sqref="B18">
    <cfRule type="expression" dxfId="753" priority="1464">
      <formula>AD18&lt;&gt;""</formula>
    </cfRule>
  </conditionalFormatting>
  <conditionalFormatting sqref="Z18">
    <cfRule type="cellIs" dxfId="752" priority="1462" operator="greaterThan">
      <formula>0</formula>
    </cfRule>
    <cfRule type="cellIs" dxfId="751" priority="1463" operator="lessThan">
      <formula>0</formula>
    </cfRule>
  </conditionalFormatting>
  <conditionalFormatting sqref="S18">
    <cfRule type="cellIs" dxfId="750" priority="1461" operator="lessThan">
      <formula>0</formula>
    </cfRule>
  </conditionalFormatting>
  <conditionalFormatting sqref="L18:M18 O18 R18:AC18">
    <cfRule type="expression" dxfId="749" priority="1465">
      <formula>AND($G18="Yes", $S$6="Exclude")</formula>
    </cfRule>
    <cfRule type="expression" dxfId="748" priority="1466">
      <formula>$J18="Yes"</formula>
    </cfRule>
  </conditionalFormatting>
  <conditionalFormatting sqref="F18">
    <cfRule type="expression" dxfId="747" priority="1458">
      <formula>$K18&lt;&gt;""</formula>
    </cfRule>
  </conditionalFormatting>
  <conditionalFormatting sqref="C18">
    <cfRule type="expression" dxfId="746" priority="1457">
      <formula>$G18&lt;&gt;"-"</formula>
    </cfRule>
  </conditionalFormatting>
  <conditionalFormatting sqref="D18">
    <cfRule type="expression" dxfId="745" priority="1456">
      <formula>$H18&lt;&gt;"-"</formula>
    </cfRule>
  </conditionalFormatting>
  <conditionalFormatting sqref="E18">
    <cfRule type="expression" dxfId="744" priority="1455">
      <formula>$I18&lt;&gt;"-"</formula>
    </cfRule>
  </conditionalFormatting>
  <conditionalFormatting sqref="B28">
    <cfRule type="expression" dxfId="743" priority="1451">
      <formula>AD28&lt;&gt;""</formula>
    </cfRule>
  </conditionalFormatting>
  <conditionalFormatting sqref="Z28">
    <cfRule type="cellIs" dxfId="742" priority="1449" operator="greaterThan">
      <formula>0</formula>
    </cfRule>
    <cfRule type="cellIs" dxfId="741" priority="1450" operator="lessThan">
      <formula>0</formula>
    </cfRule>
  </conditionalFormatting>
  <conditionalFormatting sqref="S28">
    <cfRule type="cellIs" dxfId="740" priority="1448" operator="lessThan">
      <formula>0</formula>
    </cfRule>
  </conditionalFormatting>
  <conditionalFormatting sqref="T26:T27">
    <cfRule type="expression" dxfId="739" priority="1452">
      <formula>#REF!="Yes"</formula>
    </cfRule>
  </conditionalFormatting>
  <conditionalFormatting sqref="P28">
    <cfRule type="cellIs" dxfId="738" priority="1446" operator="equal">
      <formula>AS_DURATION_EFFORT</formula>
    </cfRule>
    <cfRule type="cellIs" dxfId="737" priority="1447" operator="equal">
      <formula>AS_DEV_EFFORT</formula>
    </cfRule>
  </conditionalFormatting>
  <conditionalFormatting sqref="B26:B27">
    <cfRule type="expression" dxfId="736" priority="1445">
      <formula>AD26&lt;&gt;""</formula>
    </cfRule>
  </conditionalFormatting>
  <conditionalFormatting sqref="F28">
    <cfRule type="expression" dxfId="735" priority="1444">
      <formula>$K28&lt;&gt;""</formula>
    </cfRule>
  </conditionalFormatting>
  <conditionalFormatting sqref="C28">
    <cfRule type="expression" dxfId="734" priority="1443">
      <formula>$G28&lt;&gt;"-"</formula>
    </cfRule>
  </conditionalFormatting>
  <conditionalFormatting sqref="D28">
    <cfRule type="expression" dxfId="733" priority="1442">
      <formula>$H28&lt;&gt;"-"</formula>
    </cfRule>
  </conditionalFormatting>
  <conditionalFormatting sqref="E28">
    <cfRule type="expression" dxfId="732" priority="1441">
      <formula>$I28&lt;&gt;"-"</formula>
    </cfRule>
  </conditionalFormatting>
  <conditionalFormatting sqref="B35">
    <cfRule type="expression" dxfId="731" priority="1437">
      <formula>AD35&lt;&gt;""</formula>
    </cfRule>
  </conditionalFormatting>
  <conditionalFormatting sqref="Z35">
    <cfRule type="cellIs" dxfId="730" priority="1435" operator="greaterThan">
      <formula>0</formula>
    </cfRule>
    <cfRule type="cellIs" dxfId="729" priority="1436" operator="lessThan">
      <formula>0</formula>
    </cfRule>
  </conditionalFormatting>
  <conditionalFormatting sqref="S35">
    <cfRule type="cellIs" dxfId="728" priority="1434" operator="lessThan">
      <formula>0</formula>
    </cfRule>
  </conditionalFormatting>
  <conditionalFormatting sqref="T33:T34">
    <cfRule type="expression" dxfId="727" priority="1438">
      <formula>#REF!="Yes"</formula>
    </cfRule>
  </conditionalFormatting>
  <conditionalFormatting sqref="P35">
    <cfRule type="cellIs" dxfId="726" priority="1432" operator="equal">
      <formula>AS_DURATION_EFFORT</formula>
    </cfRule>
    <cfRule type="cellIs" dxfId="725" priority="1433" operator="equal">
      <formula>AS_DEV_EFFORT</formula>
    </cfRule>
  </conditionalFormatting>
  <conditionalFormatting sqref="B33:B34">
    <cfRule type="expression" dxfId="724" priority="1431">
      <formula>AD33&lt;&gt;""</formula>
    </cfRule>
  </conditionalFormatting>
  <conditionalFormatting sqref="F35">
    <cfRule type="expression" dxfId="723" priority="1430">
      <formula>$K35&lt;&gt;""</formula>
    </cfRule>
  </conditionalFormatting>
  <conditionalFormatting sqref="C35">
    <cfRule type="expression" dxfId="722" priority="1429">
      <formula>$G35&lt;&gt;"-"</formula>
    </cfRule>
  </conditionalFormatting>
  <conditionalFormatting sqref="D35">
    <cfRule type="expression" dxfId="721" priority="1428">
      <formula>$H35&lt;&gt;"-"</formula>
    </cfRule>
  </conditionalFormatting>
  <conditionalFormatting sqref="E35">
    <cfRule type="expression" dxfId="720" priority="1427">
      <formula>$I35&lt;&gt;"-"</formula>
    </cfRule>
  </conditionalFormatting>
  <conditionalFormatting sqref="B43">
    <cfRule type="expression" dxfId="719" priority="1423">
      <formula>AD43&lt;&gt;""</formula>
    </cfRule>
  </conditionalFormatting>
  <conditionalFormatting sqref="Z43">
    <cfRule type="cellIs" dxfId="718" priority="1421" operator="greaterThan">
      <formula>0</formula>
    </cfRule>
    <cfRule type="cellIs" dxfId="717" priority="1422" operator="lessThan">
      <formula>0</formula>
    </cfRule>
  </conditionalFormatting>
  <conditionalFormatting sqref="S43">
    <cfRule type="cellIs" dxfId="716" priority="1420" operator="lessThan">
      <formula>0</formula>
    </cfRule>
  </conditionalFormatting>
  <conditionalFormatting sqref="T41:T42">
    <cfRule type="expression" dxfId="715" priority="1424">
      <formula>#REF!="Yes"</formula>
    </cfRule>
  </conditionalFormatting>
  <conditionalFormatting sqref="P43">
    <cfRule type="cellIs" dxfId="714" priority="1418" operator="equal">
      <formula>AS_DURATION_EFFORT</formula>
    </cfRule>
    <cfRule type="cellIs" dxfId="713" priority="1419" operator="equal">
      <formula>AS_DEV_EFFORT</formula>
    </cfRule>
  </conditionalFormatting>
  <conditionalFormatting sqref="B41:B42">
    <cfRule type="expression" dxfId="712" priority="1417">
      <formula>AD41&lt;&gt;""</formula>
    </cfRule>
  </conditionalFormatting>
  <conditionalFormatting sqref="F43">
    <cfRule type="expression" dxfId="711" priority="1416">
      <formula>$K43&lt;&gt;""</formula>
    </cfRule>
  </conditionalFormatting>
  <conditionalFormatting sqref="C43">
    <cfRule type="expression" dxfId="710" priority="1415">
      <formula>$G43&lt;&gt;"-"</formula>
    </cfRule>
  </conditionalFormatting>
  <conditionalFormatting sqref="D43">
    <cfRule type="expression" dxfId="709" priority="1414">
      <formula>$H43&lt;&gt;"-"</formula>
    </cfRule>
  </conditionalFormatting>
  <conditionalFormatting sqref="E43">
    <cfRule type="expression" dxfId="708" priority="1413">
      <formula>$I43&lt;&gt;"-"</formula>
    </cfRule>
  </conditionalFormatting>
  <conditionalFormatting sqref="B49">
    <cfRule type="expression" dxfId="707" priority="1409">
      <formula>AD49&lt;&gt;""</formula>
    </cfRule>
  </conditionalFormatting>
  <conditionalFormatting sqref="Z49">
    <cfRule type="cellIs" dxfId="706" priority="1407" operator="greaterThan">
      <formula>0</formula>
    </cfRule>
    <cfRule type="cellIs" dxfId="705" priority="1408" operator="lessThan">
      <formula>0</formula>
    </cfRule>
  </conditionalFormatting>
  <conditionalFormatting sqref="S49">
    <cfRule type="cellIs" dxfId="704" priority="1406" operator="lessThan">
      <formula>0</formula>
    </cfRule>
  </conditionalFormatting>
  <conditionalFormatting sqref="T47:T48">
    <cfRule type="expression" dxfId="703" priority="1410">
      <formula>#REF!="Yes"</formula>
    </cfRule>
  </conditionalFormatting>
  <conditionalFormatting sqref="P49">
    <cfRule type="cellIs" dxfId="702" priority="1404" operator="equal">
      <formula>AS_DURATION_EFFORT</formula>
    </cfRule>
    <cfRule type="cellIs" dxfId="701" priority="1405" operator="equal">
      <formula>AS_DEV_EFFORT</formula>
    </cfRule>
  </conditionalFormatting>
  <conditionalFormatting sqref="B47:B48">
    <cfRule type="expression" dxfId="700" priority="1403">
      <formula>AD47&lt;&gt;""</formula>
    </cfRule>
  </conditionalFormatting>
  <conditionalFormatting sqref="F49">
    <cfRule type="expression" dxfId="699" priority="1402">
      <formula>$K49&lt;&gt;""</formula>
    </cfRule>
  </conditionalFormatting>
  <conditionalFormatting sqref="C49">
    <cfRule type="expression" dxfId="698" priority="1401">
      <formula>$G49&lt;&gt;"-"</formula>
    </cfRule>
  </conditionalFormatting>
  <conditionalFormatting sqref="D49">
    <cfRule type="expression" dxfId="697" priority="1400">
      <formula>$H49&lt;&gt;"-"</formula>
    </cfRule>
  </conditionalFormatting>
  <conditionalFormatting sqref="E49">
    <cfRule type="expression" dxfId="696" priority="1399">
      <formula>$I49&lt;&gt;"-"</formula>
    </cfRule>
  </conditionalFormatting>
  <conditionalFormatting sqref="B58">
    <cfRule type="expression" dxfId="695" priority="1395">
      <formula>AD58&lt;&gt;""</formula>
    </cfRule>
  </conditionalFormatting>
  <conditionalFormatting sqref="Z58">
    <cfRule type="cellIs" dxfId="694" priority="1393" operator="greaterThan">
      <formula>0</formula>
    </cfRule>
    <cfRule type="cellIs" dxfId="693" priority="1394" operator="lessThan">
      <formula>0</formula>
    </cfRule>
  </conditionalFormatting>
  <conditionalFormatting sqref="S58">
    <cfRule type="cellIs" dxfId="692" priority="1392" operator="lessThan">
      <formula>0</formula>
    </cfRule>
  </conditionalFormatting>
  <conditionalFormatting sqref="T56:T57">
    <cfRule type="expression" dxfId="691" priority="1396">
      <formula>#REF!="Yes"</formula>
    </cfRule>
  </conditionalFormatting>
  <conditionalFormatting sqref="P58">
    <cfRule type="cellIs" dxfId="690" priority="1390" operator="equal">
      <formula>AS_DURATION_EFFORT</formula>
    </cfRule>
    <cfRule type="cellIs" dxfId="689" priority="1391" operator="equal">
      <formula>AS_DEV_EFFORT</formula>
    </cfRule>
  </conditionalFormatting>
  <conditionalFormatting sqref="B56:B57">
    <cfRule type="expression" dxfId="688" priority="1389">
      <formula>AD56&lt;&gt;""</formula>
    </cfRule>
  </conditionalFormatting>
  <conditionalFormatting sqref="F58">
    <cfRule type="expression" dxfId="687" priority="1388">
      <formula>$K58&lt;&gt;""</formula>
    </cfRule>
  </conditionalFormatting>
  <conditionalFormatting sqref="C58">
    <cfRule type="expression" dxfId="686" priority="1387">
      <formula>$G58&lt;&gt;"-"</formula>
    </cfRule>
  </conditionalFormatting>
  <conditionalFormatting sqref="D58">
    <cfRule type="expression" dxfId="685" priority="1386">
      <formula>$H58&lt;&gt;"-"</formula>
    </cfRule>
  </conditionalFormatting>
  <conditionalFormatting sqref="E58">
    <cfRule type="expression" dxfId="684" priority="1385">
      <formula>$I58&lt;&gt;"-"</formula>
    </cfRule>
  </conditionalFormatting>
  <conditionalFormatting sqref="N18">
    <cfRule type="expression" dxfId="683" priority="1383">
      <formula>AND($G18="Yes", $S$6="Exclude")</formula>
    </cfRule>
    <cfRule type="expression" dxfId="682" priority="1384">
      <formula>$J18="Yes"</formula>
    </cfRule>
  </conditionalFormatting>
  <conditionalFormatting sqref="P18">
    <cfRule type="cellIs" dxfId="681" priority="1379" operator="equal">
      <formula>AS_DURATION_EFFORT</formula>
    </cfRule>
    <cfRule type="cellIs" dxfId="680" priority="1380" operator="equal">
      <formula>AS_DEV_EFFORT</formula>
    </cfRule>
  </conditionalFormatting>
  <conditionalFormatting sqref="P18:Q18">
    <cfRule type="expression" dxfId="679" priority="1381">
      <formula>AND($G18="Yes", $S$6="Exclude")</formula>
    </cfRule>
    <cfRule type="expression" dxfId="678" priority="1382">
      <formula>$J18="Yes"</formula>
    </cfRule>
  </conditionalFormatting>
  <conditionalFormatting sqref="B22">
    <cfRule type="expression" dxfId="677" priority="1376">
      <formula>AD22&lt;&gt;""</formula>
    </cfRule>
  </conditionalFormatting>
  <conditionalFormatting sqref="Z22">
    <cfRule type="cellIs" dxfId="676" priority="1374" operator="greaterThan">
      <formula>0</formula>
    </cfRule>
    <cfRule type="cellIs" dxfId="675" priority="1375" operator="lessThan">
      <formula>0</formula>
    </cfRule>
  </conditionalFormatting>
  <conditionalFormatting sqref="S22">
    <cfRule type="cellIs" dxfId="674" priority="1373" operator="lessThan">
      <formula>0</formula>
    </cfRule>
  </conditionalFormatting>
  <conditionalFormatting sqref="P22">
    <cfRule type="cellIs" dxfId="673" priority="1371" operator="equal">
      <formula>AS_DURATION_EFFORT</formula>
    </cfRule>
    <cfRule type="cellIs" dxfId="672" priority="1372" operator="equal">
      <formula>AS_DEV_EFFORT</formula>
    </cfRule>
  </conditionalFormatting>
  <conditionalFormatting sqref="L22:M22 O22:AC22">
    <cfRule type="expression" dxfId="671" priority="1377">
      <formula>AND($G22="Yes", $S$6="Exclude")</formula>
    </cfRule>
    <cfRule type="expression" dxfId="670" priority="1378">
      <formula>$J22="Yes"</formula>
    </cfRule>
  </conditionalFormatting>
  <conditionalFormatting sqref="F22">
    <cfRule type="expression" dxfId="669" priority="1370">
      <formula>$K22&lt;&gt;""</formula>
    </cfRule>
  </conditionalFormatting>
  <conditionalFormatting sqref="C22">
    <cfRule type="expression" dxfId="668" priority="1369">
      <formula>$G22&lt;&gt;"-"</formula>
    </cfRule>
  </conditionalFormatting>
  <conditionalFormatting sqref="D22">
    <cfRule type="expression" dxfId="667" priority="1368">
      <formula>$H22&lt;&gt;"-"</formula>
    </cfRule>
  </conditionalFormatting>
  <conditionalFormatting sqref="E22">
    <cfRule type="expression" dxfId="666" priority="1367">
      <formula>$I22&lt;&gt;"-"</formula>
    </cfRule>
  </conditionalFormatting>
  <conditionalFormatting sqref="N22">
    <cfRule type="expression" dxfId="665" priority="1365">
      <formula>AND($G22="Yes", $S$6="Exclude")</formula>
    </cfRule>
    <cfRule type="expression" dxfId="664" priority="1366">
      <formula>$J22="Yes"</formula>
    </cfRule>
  </conditionalFormatting>
  <conditionalFormatting sqref="B31">
    <cfRule type="expression" dxfId="663" priority="1362">
      <formula>AD31&lt;&gt;""</formula>
    </cfRule>
  </conditionalFormatting>
  <conditionalFormatting sqref="Z31">
    <cfRule type="cellIs" dxfId="662" priority="1360" operator="greaterThan">
      <formula>0</formula>
    </cfRule>
    <cfRule type="cellIs" dxfId="661" priority="1361" operator="lessThan">
      <formula>0</formula>
    </cfRule>
  </conditionalFormatting>
  <conditionalFormatting sqref="S31">
    <cfRule type="cellIs" dxfId="660" priority="1359" operator="lessThan">
      <formula>0</formula>
    </cfRule>
  </conditionalFormatting>
  <conditionalFormatting sqref="P31">
    <cfRule type="cellIs" dxfId="659" priority="1357" operator="equal">
      <formula>AS_DURATION_EFFORT</formula>
    </cfRule>
    <cfRule type="cellIs" dxfId="658" priority="1358" operator="equal">
      <formula>AS_DEV_EFFORT</formula>
    </cfRule>
  </conditionalFormatting>
  <conditionalFormatting sqref="L31:M31 O31:AC31">
    <cfRule type="expression" dxfId="657" priority="1363">
      <formula>AND($G31="Yes", $S$6="Exclude")</formula>
    </cfRule>
    <cfRule type="expression" dxfId="656" priority="1364">
      <formula>$J31="Yes"</formula>
    </cfRule>
  </conditionalFormatting>
  <conditionalFormatting sqref="F31">
    <cfRule type="expression" dxfId="655" priority="1356">
      <formula>$K31&lt;&gt;""</formula>
    </cfRule>
  </conditionalFormatting>
  <conditionalFormatting sqref="C31">
    <cfRule type="expression" dxfId="654" priority="1355">
      <formula>$G31&lt;&gt;"-"</formula>
    </cfRule>
  </conditionalFormatting>
  <conditionalFormatting sqref="D31">
    <cfRule type="expression" dxfId="653" priority="1354">
      <formula>$H31&lt;&gt;"-"</formula>
    </cfRule>
  </conditionalFormatting>
  <conditionalFormatting sqref="E31">
    <cfRule type="expression" dxfId="652" priority="1353">
      <formula>$I31&lt;&gt;"-"</formula>
    </cfRule>
  </conditionalFormatting>
  <conditionalFormatting sqref="B30">
    <cfRule type="expression" dxfId="651" priority="1350">
      <formula>AD30&lt;&gt;""</formula>
    </cfRule>
  </conditionalFormatting>
  <conditionalFormatting sqref="Z30">
    <cfRule type="cellIs" dxfId="650" priority="1348" operator="greaterThan">
      <formula>0</formula>
    </cfRule>
    <cfRule type="cellIs" dxfId="649" priority="1349" operator="lessThan">
      <formula>0</formula>
    </cfRule>
  </conditionalFormatting>
  <conditionalFormatting sqref="S30">
    <cfRule type="cellIs" dxfId="648" priority="1347" operator="lessThan">
      <formula>0</formula>
    </cfRule>
  </conditionalFormatting>
  <conditionalFormatting sqref="P30">
    <cfRule type="cellIs" dxfId="647" priority="1345" operator="equal">
      <formula>AS_DURATION_EFFORT</formula>
    </cfRule>
    <cfRule type="cellIs" dxfId="646" priority="1346" operator="equal">
      <formula>AS_DEV_EFFORT</formula>
    </cfRule>
  </conditionalFormatting>
  <conditionalFormatting sqref="L30:M30 P30:W30 Y30:AC30">
    <cfRule type="expression" dxfId="645" priority="1351">
      <formula>AND($G30="Yes", $S$6="Exclude")</formula>
    </cfRule>
    <cfRule type="expression" dxfId="644" priority="1352">
      <formula>$J30="Yes"</formula>
    </cfRule>
  </conditionalFormatting>
  <conditionalFormatting sqref="F30">
    <cfRule type="expression" dxfId="643" priority="1344">
      <formula>$K30&lt;&gt;""</formula>
    </cfRule>
  </conditionalFormatting>
  <conditionalFormatting sqref="C30">
    <cfRule type="expression" dxfId="642" priority="1343">
      <formula>$G30&lt;&gt;"-"</formula>
    </cfRule>
  </conditionalFormatting>
  <conditionalFormatting sqref="D30">
    <cfRule type="expression" dxfId="641" priority="1342">
      <formula>$H30&lt;&gt;"-"</formula>
    </cfRule>
  </conditionalFormatting>
  <conditionalFormatting sqref="E30">
    <cfRule type="expression" dxfId="640" priority="1341">
      <formula>$I30&lt;&gt;"-"</formula>
    </cfRule>
  </conditionalFormatting>
  <conditionalFormatting sqref="B29">
    <cfRule type="expression" dxfId="639" priority="1338">
      <formula>AD29&lt;&gt;""</formula>
    </cfRule>
  </conditionalFormatting>
  <conditionalFormatting sqref="Z29">
    <cfRule type="cellIs" dxfId="638" priority="1336" operator="greaterThan">
      <formula>0</formula>
    </cfRule>
    <cfRule type="cellIs" dxfId="637" priority="1337" operator="lessThan">
      <formula>0</formula>
    </cfRule>
  </conditionalFormatting>
  <conditionalFormatting sqref="S29">
    <cfRule type="cellIs" dxfId="636" priority="1335" operator="lessThan">
      <formula>0</formula>
    </cfRule>
  </conditionalFormatting>
  <conditionalFormatting sqref="P29">
    <cfRule type="cellIs" dxfId="635" priority="1333" operator="equal">
      <formula>AS_DURATION_EFFORT</formula>
    </cfRule>
    <cfRule type="cellIs" dxfId="634" priority="1334" operator="equal">
      <formula>AS_DEV_EFFORT</formula>
    </cfRule>
  </conditionalFormatting>
  <conditionalFormatting sqref="L29:M29 P29:AC29">
    <cfRule type="expression" dxfId="633" priority="1339">
      <formula>AND($G29="Yes", $S$6="Exclude")</formula>
    </cfRule>
    <cfRule type="expression" dxfId="632" priority="1340">
      <formula>$J29="Yes"</formula>
    </cfRule>
  </conditionalFormatting>
  <conditionalFormatting sqref="F29">
    <cfRule type="expression" dxfId="631" priority="1332">
      <formula>$K29&lt;&gt;""</formula>
    </cfRule>
  </conditionalFormatting>
  <conditionalFormatting sqref="C29">
    <cfRule type="expression" dxfId="630" priority="1331">
      <formula>$G29&lt;&gt;"-"</formula>
    </cfRule>
  </conditionalFormatting>
  <conditionalFormatting sqref="D29">
    <cfRule type="expression" dxfId="629" priority="1330">
      <formula>$H29&lt;&gt;"-"</formula>
    </cfRule>
  </conditionalFormatting>
  <conditionalFormatting sqref="E29">
    <cfRule type="expression" dxfId="628" priority="1329">
      <formula>$I29&lt;&gt;"-"</formula>
    </cfRule>
  </conditionalFormatting>
  <conditionalFormatting sqref="N30:N31">
    <cfRule type="expression" dxfId="627" priority="1327">
      <formula>AND($G30="Yes", $S$6="Exclude")</formula>
    </cfRule>
    <cfRule type="expression" dxfId="626" priority="1328">
      <formula>$J30="Yes"</formula>
    </cfRule>
  </conditionalFormatting>
  <conditionalFormatting sqref="N28">
    <cfRule type="expression" dxfId="625" priority="1325">
      <formula>AND($G28="Yes", $S$6="Exclude")</formula>
    </cfRule>
    <cfRule type="expression" dxfId="624" priority="1326">
      <formula>$J28="Yes"</formula>
    </cfRule>
  </conditionalFormatting>
  <conditionalFormatting sqref="N29">
    <cfRule type="expression" dxfId="623" priority="1323">
      <formula>AND($G29="Yes", $S$6="Exclude")</formula>
    </cfRule>
    <cfRule type="expression" dxfId="622" priority="1324">
      <formula>$J29="Yes"</formula>
    </cfRule>
  </conditionalFormatting>
  <conditionalFormatting sqref="O30">
    <cfRule type="expression" dxfId="621" priority="1321">
      <formula>AND($G30="Yes", $S$6="Exclude")</formula>
    </cfRule>
    <cfRule type="expression" dxfId="620" priority="1322">
      <formula>$J30="Yes"</formula>
    </cfRule>
  </conditionalFormatting>
  <conditionalFormatting sqref="O29">
    <cfRule type="expression" dxfId="619" priority="1319">
      <formula>AND($G29="Yes", $S$6="Exclude")</formula>
    </cfRule>
    <cfRule type="expression" dxfId="618" priority="1320">
      <formula>$J29="Yes"</formula>
    </cfRule>
  </conditionalFormatting>
  <conditionalFormatting sqref="B39">
    <cfRule type="expression" dxfId="617" priority="1316">
      <formula>AD39&lt;&gt;""</formula>
    </cfRule>
  </conditionalFormatting>
  <conditionalFormatting sqref="Z39">
    <cfRule type="cellIs" dxfId="616" priority="1314" operator="greaterThan">
      <formula>0</formula>
    </cfRule>
    <cfRule type="cellIs" dxfId="615" priority="1315" operator="lessThan">
      <formula>0</formula>
    </cfRule>
  </conditionalFormatting>
  <conditionalFormatting sqref="S39">
    <cfRule type="cellIs" dxfId="614" priority="1313" operator="lessThan">
      <formula>0</formula>
    </cfRule>
  </conditionalFormatting>
  <conditionalFormatting sqref="P39">
    <cfRule type="cellIs" dxfId="613" priority="1311" operator="equal">
      <formula>AS_DURATION_EFFORT</formula>
    </cfRule>
    <cfRule type="cellIs" dxfId="612" priority="1312" operator="equal">
      <formula>AS_DEV_EFFORT</formula>
    </cfRule>
  </conditionalFormatting>
  <conditionalFormatting sqref="L39:M39 O39:P39 S39:AC39">
    <cfRule type="expression" dxfId="611" priority="1317">
      <formula>AND($G39="Yes", $S$6="Exclude")</formula>
    </cfRule>
    <cfRule type="expression" dxfId="610" priority="1318">
      <formula>$J39="Yes"</formula>
    </cfRule>
  </conditionalFormatting>
  <conditionalFormatting sqref="F39">
    <cfRule type="expression" dxfId="609" priority="1310">
      <formula>$K39&lt;&gt;""</formula>
    </cfRule>
  </conditionalFormatting>
  <conditionalFormatting sqref="C39">
    <cfRule type="expression" dxfId="608" priority="1309">
      <formula>$G39&lt;&gt;"-"</formula>
    </cfRule>
  </conditionalFormatting>
  <conditionalFormatting sqref="D39">
    <cfRule type="expression" dxfId="607" priority="1308">
      <formula>$H39&lt;&gt;"-"</formula>
    </cfRule>
  </conditionalFormatting>
  <conditionalFormatting sqref="E39">
    <cfRule type="expression" dxfId="606" priority="1307">
      <formula>$I39&lt;&gt;"-"</formula>
    </cfRule>
  </conditionalFormatting>
  <conditionalFormatting sqref="B38">
    <cfRule type="expression" dxfId="605" priority="1304">
      <formula>AD38&lt;&gt;""</formula>
    </cfRule>
  </conditionalFormatting>
  <conditionalFormatting sqref="Z38">
    <cfRule type="cellIs" dxfId="604" priority="1302" operator="greaterThan">
      <formula>0</formula>
    </cfRule>
    <cfRule type="cellIs" dxfId="603" priority="1303" operator="lessThan">
      <formula>0</formula>
    </cfRule>
  </conditionalFormatting>
  <conditionalFormatting sqref="S38">
    <cfRule type="cellIs" dxfId="602" priority="1301" operator="lessThan">
      <formula>0</formula>
    </cfRule>
  </conditionalFormatting>
  <conditionalFormatting sqref="P38">
    <cfRule type="cellIs" dxfId="601" priority="1299" operator="equal">
      <formula>AS_DURATION_EFFORT</formula>
    </cfRule>
    <cfRule type="cellIs" dxfId="600" priority="1300" operator="equal">
      <formula>AS_DEV_EFFORT</formula>
    </cfRule>
  </conditionalFormatting>
  <conditionalFormatting sqref="L38:M38 P38 S38:AC38">
    <cfRule type="expression" dxfId="599" priority="1305">
      <formula>AND($G38="Yes", $S$6="Exclude")</formula>
    </cfRule>
    <cfRule type="expression" dxfId="598" priority="1306">
      <formula>$J38="Yes"</formula>
    </cfRule>
  </conditionalFormatting>
  <conditionalFormatting sqref="F38">
    <cfRule type="expression" dxfId="597" priority="1298">
      <formula>$K38&lt;&gt;""</formula>
    </cfRule>
  </conditionalFormatting>
  <conditionalFormatting sqref="C38">
    <cfRule type="expression" dxfId="596" priority="1297">
      <formula>$G38&lt;&gt;"-"</formula>
    </cfRule>
  </conditionalFormatting>
  <conditionalFormatting sqref="D38">
    <cfRule type="expression" dxfId="595" priority="1296">
      <formula>$H38&lt;&gt;"-"</formula>
    </cfRule>
  </conditionalFormatting>
  <conditionalFormatting sqref="E38">
    <cfRule type="expression" dxfId="594" priority="1295">
      <formula>$I38&lt;&gt;"-"</formula>
    </cfRule>
  </conditionalFormatting>
  <conditionalFormatting sqref="B37">
    <cfRule type="expression" dxfId="593" priority="1292">
      <formula>AD37&lt;&gt;""</formula>
    </cfRule>
  </conditionalFormatting>
  <conditionalFormatting sqref="Z37">
    <cfRule type="cellIs" dxfId="592" priority="1290" operator="greaterThan">
      <formula>0</formula>
    </cfRule>
    <cfRule type="cellIs" dxfId="591" priority="1291" operator="lessThan">
      <formula>0</formula>
    </cfRule>
  </conditionalFormatting>
  <conditionalFormatting sqref="S37">
    <cfRule type="cellIs" dxfId="590" priority="1289" operator="lessThan">
      <formula>0</formula>
    </cfRule>
  </conditionalFormatting>
  <conditionalFormatting sqref="P37">
    <cfRule type="cellIs" dxfId="589" priority="1287" operator="equal">
      <formula>AS_DURATION_EFFORT</formula>
    </cfRule>
    <cfRule type="cellIs" dxfId="588" priority="1288" operator="equal">
      <formula>AS_DEV_EFFORT</formula>
    </cfRule>
  </conditionalFormatting>
  <conditionalFormatting sqref="L37:M37 P37 S37:AC37">
    <cfRule type="expression" dxfId="587" priority="1293">
      <formula>AND($G37="Yes", $S$6="Exclude")</formula>
    </cfRule>
    <cfRule type="expression" dxfId="586" priority="1294">
      <formula>$J37="Yes"</formula>
    </cfRule>
  </conditionalFormatting>
  <conditionalFormatting sqref="F37">
    <cfRule type="expression" dxfId="585" priority="1286">
      <formula>$K37&lt;&gt;""</formula>
    </cfRule>
  </conditionalFormatting>
  <conditionalFormatting sqref="C37">
    <cfRule type="expression" dxfId="584" priority="1285">
      <formula>$G37&lt;&gt;"-"</formula>
    </cfRule>
  </conditionalFormatting>
  <conditionalFormatting sqref="D37">
    <cfRule type="expression" dxfId="583" priority="1284">
      <formula>$H37&lt;&gt;"-"</formula>
    </cfRule>
  </conditionalFormatting>
  <conditionalFormatting sqref="E37">
    <cfRule type="expression" dxfId="582" priority="1283">
      <formula>$I37&lt;&gt;"-"</formula>
    </cfRule>
  </conditionalFormatting>
  <conditionalFormatting sqref="B36">
    <cfRule type="expression" dxfId="581" priority="1280">
      <formula>AD36&lt;&gt;""</formula>
    </cfRule>
  </conditionalFormatting>
  <conditionalFormatting sqref="Z36">
    <cfRule type="cellIs" dxfId="580" priority="1278" operator="greaterThan">
      <formula>0</formula>
    </cfRule>
    <cfRule type="cellIs" dxfId="579" priority="1279" operator="lessThan">
      <formula>0</formula>
    </cfRule>
  </conditionalFormatting>
  <conditionalFormatting sqref="S36">
    <cfRule type="cellIs" dxfId="578" priority="1277" operator="lessThan">
      <formula>0</formula>
    </cfRule>
  </conditionalFormatting>
  <conditionalFormatting sqref="P36">
    <cfRule type="cellIs" dxfId="577" priority="1275" operator="equal">
      <formula>AS_DURATION_EFFORT</formula>
    </cfRule>
    <cfRule type="cellIs" dxfId="576" priority="1276" operator="equal">
      <formula>AS_DEV_EFFORT</formula>
    </cfRule>
  </conditionalFormatting>
  <conditionalFormatting sqref="L36:M36 P36 S36:AC36">
    <cfRule type="expression" dxfId="575" priority="1281">
      <formula>AND($G36="Yes", $S$6="Exclude")</formula>
    </cfRule>
    <cfRule type="expression" dxfId="574" priority="1282">
      <formula>$J36="Yes"</formula>
    </cfRule>
  </conditionalFormatting>
  <conditionalFormatting sqref="F36">
    <cfRule type="expression" dxfId="573" priority="1274">
      <formula>$K36&lt;&gt;""</formula>
    </cfRule>
  </conditionalFormatting>
  <conditionalFormatting sqref="C36">
    <cfRule type="expression" dxfId="572" priority="1273">
      <formula>$G36&lt;&gt;"-"</formula>
    </cfRule>
  </conditionalFormatting>
  <conditionalFormatting sqref="D36">
    <cfRule type="expression" dxfId="571" priority="1272">
      <formula>$H36&lt;&gt;"-"</formula>
    </cfRule>
  </conditionalFormatting>
  <conditionalFormatting sqref="E36">
    <cfRule type="expression" dxfId="570" priority="1271">
      <formula>$I36&lt;&gt;"-"</formula>
    </cfRule>
  </conditionalFormatting>
  <conditionalFormatting sqref="N35">
    <cfRule type="expression" dxfId="569" priority="1269">
      <formula>AND($G35="Yes", $S$6="Exclude")</formula>
    </cfRule>
    <cfRule type="expression" dxfId="568" priority="1270">
      <formula>$J35="Yes"</formula>
    </cfRule>
  </conditionalFormatting>
  <conditionalFormatting sqref="N38">
    <cfRule type="expression" dxfId="567" priority="1267">
      <formula>AND($G38="Yes", $S$6="Exclude")</formula>
    </cfRule>
    <cfRule type="expression" dxfId="566" priority="1268">
      <formula>$J38="Yes"</formula>
    </cfRule>
  </conditionalFormatting>
  <conditionalFormatting sqref="N37">
    <cfRule type="expression" dxfId="565" priority="1265">
      <formula>AND($G37="Yes", $S$6="Exclude")</formula>
    </cfRule>
    <cfRule type="expression" dxfId="564" priority="1266">
      <formula>$J37="Yes"</formula>
    </cfRule>
  </conditionalFormatting>
  <conditionalFormatting sqref="N36">
    <cfRule type="expression" dxfId="563" priority="1263">
      <formula>AND($G36="Yes", $S$6="Exclude")</formula>
    </cfRule>
    <cfRule type="expression" dxfId="562" priority="1264">
      <formula>$J36="Yes"</formula>
    </cfRule>
  </conditionalFormatting>
  <conditionalFormatting sqref="N39">
    <cfRule type="expression" dxfId="561" priority="1261">
      <formula>AND($G39="Yes", $S$6="Exclude")</formula>
    </cfRule>
    <cfRule type="expression" dxfId="560" priority="1262">
      <formula>$J39="Yes"</formula>
    </cfRule>
  </conditionalFormatting>
  <conditionalFormatting sqref="O36">
    <cfRule type="expression" dxfId="559" priority="1259">
      <formula>AND($G36="Yes", $S$6="Exclude")</formula>
    </cfRule>
    <cfRule type="expression" dxfId="558" priority="1260">
      <formula>$J36="Yes"</formula>
    </cfRule>
  </conditionalFormatting>
  <conditionalFormatting sqref="O37">
    <cfRule type="expression" dxfId="557" priority="1257">
      <formula>AND($G37="Yes", $S$6="Exclude")</formula>
    </cfRule>
    <cfRule type="expression" dxfId="556" priority="1258">
      <formula>$J37="Yes"</formula>
    </cfRule>
  </conditionalFormatting>
  <conditionalFormatting sqref="O38">
    <cfRule type="expression" dxfId="555" priority="1255">
      <formula>AND($G38="Yes", $S$6="Exclude")</formula>
    </cfRule>
    <cfRule type="expression" dxfId="554" priority="1256">
      <formula>$J38="Yes"</formula>
    </cfRule>
  </conditionalFormatting>
  <conditionalFormatting sqref="B45">
    <cfRule type="expression" dxfId="553" priority="1252">
      <formula>AD45&lt;&gt;""</formula>
    </cfRule>
  </conditionalFormatting>
  <conditionalFormatting sqref="Z45">
    <cfRule type="cellIs" dxfId="552" priority="1250" operator="greaterThan">
      <formula>0</formula>
    </cfRule>
    <cfRule type="cellIs" dxfId="551" priority="1251" operator="lessThan">
      <formula>0</formula>
    </cfRule>
  </conditionalFormatting>
  <conditionalFormatting sqref="S45">
    <cfRule type="cellIs" dxfId="550" priority="1249" operator="lessThan">
      <formula>0</formula>
    </cfRule>
  </conditionalFormatting>
  <conditionalFormatting sqref="P45">
    <cfRule type="cellIs" dxfId="549" priority="1247" operator="equal">
      <formula>AS_DURATION_EFFORT</formula>
    </cfRule>
    <cfRule type="cellIs" dxfId="548" priority="1248" operator="equal">
      <formula>AS_DEV_EFFORT</formula>
    </cfRule>
  </conditionalFormatting>
  <conditionalFormatting sqref="L45:M45 P45:AC45">
    <cfRule type="expression" dxfId="547" priority="1253">
      <formula>AND($G45="Yes", $S$6="Exclude")</formula>
    </cfRule>
    <cfRule type="expression" dxfId="546" priority="1254">
      <formula>$J45="Yes"</formula>
    </cfRule>
  </conditionalFormatting>
  <conditionalFormatting sqref="F45">
    <cfRule type="expression" dxfId="545" priority="1246">
      <formula>$K45&lt;&gt;""</formula>
    </cfRule>
  </conditionalFormatting>
  <conditionalFormatting sqref="C45">
    <cfRule type="expression" dxfId="544" priority="1245">
      <formula>$G45&lt;&gt;"-"</formula>
    </cfRule>
  </conditionalFormatting>
  <conditionalFormatting sqref="D45">
    <cfRule type="expression" dxfId="543" priority="1244">
      <formula>$H45&lt;&gt;"-"</formula>
    </cfRule>
  </conditionalFormatting>
  <conditionalFormatting sqref="E45">
    <cfRule type="expression" dxfId="542" priority="1243">
      <formula>$I45&lt;&gt;"-"</formula>
    </cfRule>
  </conditionalFormatting>
  <conditionalFormatting sqref="B44">
    <cfRule type="expression" dxfId="541" priority="1240">
      <formula>AD44&lt;&gt;""</formula>
    </cfRule>
  </conditionalFormatting>
  <conditionalFormatting sqref="Z44">
    <cfRule type="cellIs" dxfId="540" priority="1238" operator="greaterThan">
      <formula>0</formula>
    </cfRule>
    <cfRule type="cellIs" dxfId="539" priority="1239" operator="lessThan">
      <formula>0</formula>
    </cfRule>
  </conditionalFormatting>
  <conditionalFormatting sqref="S44">
    <cfRule type="cellIs" dxfId="538" priority="1237" operator="lessThan">
      <formula>0</formula>
    </cfRule>
  </conditionalFormatting>
  <conditionalFormatting sqref="P44">
    <cfRule type="cellIs" dxfId="537" priority="1235" operator="equal">
      <formula>AS_DURATION_EFFORT</formula>
    </cfRule>
    <cfRule type="cellIs" dxfId="536" priority="1236" operator="equal">
      <formula>AS_DEV_EFFORT</formula>
    </cfRule>
  </conditionalFormatting>
  <conditionalFormatting sqref="L44:M44 P44:AC44">
    <cfRule type="expression" dxfId="535" priority="1241">
      <formula>AND($G44="Yes", $S$6="Exclude")</formula>
    </cfRule>
    <cfRule type="expression" dxfId="534" priority="1242">
      <formula>$J44="Yes"</formula>
    </cfRule>
  </conditionalFormatting>
  <conditionalFormatting sqref="F44">
    <cfRule type="expression" dxfId="533" priority="1234">
      <formula>$K44&lt;&gt;""</formula>
    </cfRule>
  </conditionalFormatting>
  <conditionalFormatting sqref="C44">
    <cfRule type="expression" dxfId="532" priority="1233">
      <formula>$G44&lt;&gt;"-"</formula>
    </cfRule>
  </conditionalFormatting>
  <conditionalFormatting sqref="D44">
    <cfRule type="expression" dxfId="531" priority="1232">
      <formula>$H44&lt;&gt;"-"</formula>
    </cfRule>
  </conditionalFormatting>
  <conditionalFormatting sqref="E44">
    <cfRule type="expression" dxfId="530" priority="1231">
      <formula>$I44&lt;&gt;"-"</formula>
    </cfRule>
  </conditionalFormatting>
  <conditionalFormatting sqref="N43:O45">
    <cfRule type="expression" dxfId="529" priority="1229">
      <formula>AND($G43="Yes", $S$6="Exclude")</formula>
    </cfRule>
    <cfRule type="expression" dxfId="528" priority="1230">
      <formula>$J43="Yes"</formula>
    </cfRule>
  </conditionalFormatting>
  <conditionalFormatting sqref="P43">
    <cfRule type="cellIs" dxfId="527" priority="1227" operator="equal">
      <formula>AS_DURATION_EFFORT</formula>
    </cfRule>
    <cfRule type="cellIs" dxfId="526" priority="1228" operator="equal">
      <formula>AS_DEV_EFFORT</formula>
    </cfRule>
  </conditionalFormatting>
  <conditionalFormatting sqref="B54">
    <cfRule type="expression" dxfId="525" priority="1224">
      <formula>AD54&lt;&gt;""</formula>
    </cfRule>
  </conditionalFormatting>
  <conditionalFormatting sqref="Z54">
    <cfRule type="cellIs" dxfId="524" priority="1222" operator="greaterThan">
      <formula>0</formula>
    </cfRule>
    <cfRule type="cellIs" dxfId="523" priority="1223" operator="lessThan">
      <formula>0</formula>
    </cfRule>
  </conditionalFormatting>
  <conditionalFormatting sqref="S54">
    <cfRule type="cellIs" dxfId="522" priority="1221" operator="lessThan">
      <formula>0</formula>
    </cfRule>
  </conditionalFormatting>
  <conditionalFormatting sqref="P54">
    <cfRule type="cellIs" dxfId="521" priority="1219" operator="equal">
      <formula>AS_DURATION_EFFORT</formula>
    </cfRule>
    <cfRule type="cellIs" dxfId="520" priority="1220" operator="equal">
      <formula>AS_DEV_EFFORT</formula>
    </cfRule>
  </conditionalFormatting>
  <conditionalFormatting sqref="L54:M54 O54:AC54">
    <cfRule type="expression" dxfId="519" priority="1225">
      <formula>AND($G54="Yes", $S$6="Exclude")</formula>
    </cfRule>
    <cfRule type="expression" dxfId="518" priority="1226">
      <formula>$J54="Yes"</formula>
    </cfRule>
  </conditionalFormatting>
  <conditionalFormatting sqref="F54">
    <cfRule type="expression" dxfId="517" priority="1218">
      <formula>$K54&lt;&gt;""</formula>
    </cfRule>
  </conditionalFormatting>
  <conditionalFormatting sqref="C54">
    <cfRule type="expression" dxfId="516" priority="1217">
      <formula>$G54&lt;&gt;"-"</formula>
    </cfRule>
  </conditionalFormatting>
  <conditionalFormatting sqref="D54">
    <cfRule type="expression" dxfId="515" priority="1216">
      <formula>$H54&lt;&gt;"-"</formula>
    </cfRule>
  </conditionalFormatting>
  <conditionalFormatting sqref="E54">
    <cfRule type="expression" dxfId="514" priority="1215">
      <formula>$I54&lt;&gt;"-"</formula>
    </cfRule>
  </conditionalFormatting>
  <conditionalFormatting sqref="B53">
    <cfRule type="expression" dxfId="513" priority="1212">
      <formula>AD53&lt;&gt;""</formula>
    </cfRule>
  </conditionalFormatting>
  <conditionalFormatting sqref="Z53">
    <cfRule type="cellIs" dxfId="512" priority="1210" operator="greaterThan">
      <formula>0</formula>
    </cfRule>
    <cfRule type="cellIs" dxfId="511" priority="1211" operator="lessThan">
      <formula>0</formula>
    </cfRule>
  </conditionalFormatting>
  <conditionalFormatting sqref="S53">
    <cfRule type="cellIs" dxfId="510" priority="1209" operator="lessThan">
      <formula>0</formula>
    </cfRule>
  </conditionalFormatting>
  <conditionalFormatting sqref="P53">
    <cfRule type="cellIs" dxfId="509" priority="1207" operator="equal">
      <formula>AS_DURATION_EFFORT</formula>
    </cfRule>
    <cfRule type="cellIs" dxfId="508" priority="1208" operator="equal">
      <formula>AS_DEV_EFFORT</formula>
    </cfRule>
  </conditionalFormatting>
  <conditionalFormatting sqref="L53:M53 O53:AC53">
    <cfRule type="expression" dxfId="507" priority="1213">
      <formula>AND($G53="Yes", $S$6="Exclude")</formula>
    </cfRule>
    <cfRule type="expression" dxfId="506" priority="1214">
      <formula>$J53="Yes"</formula>
    </cfRule>
  </conditionalFormatting>
  <conditionalFormatting sqref="F53">
    <cfRule type="expression" dxfId="505" priority="1206">
      <formula>$K53&lt;&gt;""</formula>
    </cfRule>
  </conditionalFormatting>
  <conditionalFormatting sqref="C53">
    <cfRule type="expression" dxfId="504" priority="1205">
      <formula>$G53&lt;&gt;"-"</formula>
    </cfRule>
  </conditionalFormatting>
  <conditionalFormatting sqref="D53">
    <cfRule type="expression" dxfId="503" priority="1204">
      <formula>$H53&lt;&gt;"-"</formula>
    </cfRule>
  </conditionalFormatting>
  <conditionalFormatting sqref="E53">
    <cfRule type="expression" dxfId="502" priority="1203">
      <formula>$I53&lt;&gt;"-"</formula>
    </cfRule>
  </conditionalFormatting>
  <conditionalFormatting sqref="B52">
    <cfRule type="expression" dxfId="501" priority="1200">
      <formula>AD52&lt;&gt;""</formula>
    </cfRule>
  </conditionalFormatting>
  <conditionalFormatting sqref="Z52">
    <cfRule type="cellIs" dxfId="500" priority="1198" operator="greaterThan">
      <formula>0</formula>
    </cfRule>
    <cfRule type="cellIs" dxfId="499" priority="1199" operator="lessThan">
      <formula>0</formula>
    </cfRule>
  </conditionalFormatting>
  <conditionalFormatting sqref="S52">
    <cfRule type="cellIs" dxfId="498" priority="1197" operator="lessThan">
      <formula>0</formula>
    </cfRule>
  </conditionalFormatting>
  <conditionalFormatting sqref="P52">
    <cfRule type="cellIs" dxfId="497" priority="1195" operator="equal">
      <formula>AS_DURATION_EFFORT</formula>
    </cfRule>
    <cfRule type="cellIs" dxfId="496" priority="1196" operator="equal">
      <formula>AS_DEV_EFFORT</formula>
    </cfRule>
  </conditionalFormatting>
  <conditionalFormatting sqref="L52:M52 O52:AC52">
    <cfRule type="expression" dxfId="495" priority="1201">
      <formula>AND($G52="Yes", $S$6="Exclude")</formula>
    </cfRule>
    <cfRule type="expression" dxfId="494" priority="1202">
      <formula>$J52="Yes"</formula>
    </cfRule>
  </conditionalFormatting>
  <conditionalFormatting sqref="F52">
    <cfRule type="expression" dxfId="493" priority="1194">
      <formula>$K52&lt;&gt;""</formula>
    </cfRule>
  </conditionalFormatting>
  <conditionalFormatting sqref="C52">
    <cfRule type="expression" dxfId="492" priority="1193">
      <formula>$G52&lt;&gt;"-"</formula>
    </cfRule>
  </conditionalFormatting>
  <conditionalFormatting sqref="D52">
    <cfRule type="expression" dxfId="491" priority="1192">
      <formula>$H52&lt;&gt;"-"</formula>
    </cfRule>
  </conditionalFormatting>
  <conditionalFormatting sqref="E52">
    <cfRule type="expression" dxfId="490" priority="1191">
      <formula>$I52&lt;&gt;"-"</formula>
    </cfRule>
  </conditionalFormatting>
  <conditionalFormatting sqref="B51">
    <cfRule type="expression" dxfId="489" priority="1188">
      <formula>AD51&lt;&gt;""</formula>
    </cfRule>
  </conditionalFormatting>
  <conditionalFormatting sqref="Z51">
    <cfRule type="cellIs" dxfId="488" priority="1186" operator="greaterThan">
      <formula>0</formula>
    </cfRule>
    <cfRule type="cellIs" dxfId="487" priority="1187" operator="lessThan">
      <formula>0</formula>
    </cfRule>
  </conditionalFormatting>
  <conditionalFormatting sqref="S51">
    <cfRule type="cellIs" dxfId="486" priority="1185" operator="lessThan">
      <formula>0</formula>
    </cfRule>
  </conditionalFormatting>
  <conditionalFormatting sqref="P51">
    <cfRule type="cellIs" dxfId="485" priority="1183" operator="equal">
      <formula>AS_DURATION_EFFORT</formula>
    </cfRule>
    <cfRule type="cellIs" dxfId="484" priority="1184" operator="equal">
      <formula>AS_DEV_EFFORT</formula>
    </cfRule>
  </conditionalFormatting>
  <conditionalFormatting sqref="L51:M51 O51:AC51">
    <cfRule type="expression" dxfId="483" priority="1189">
      <formula>AND($G51="Yes", $S$6="Exclude")</formula>
    </cfRule>
    <cfRule type="expression" dxfId="482" priority="1190">
      <formula>$J51="Yes"</formula>
    </cfRule>
  </conditionalFormatting>
  <conditionalFormatting sqref="F51">
    <cfRule type="expression" dxfId="481" priority="1182">
      <formula>$K51&lt;&gt;""</formula>
    </cfRule>
  </conditionalFormatting>
  <conditionalFormatting sqref="C51">
    <cfRule type="expression" dxfId="480" priority="1181">
      <formula>$G51&lt;&gt;"-"</formula>
    </cfRule>
  </conditionalFormatting>
  <conditionalFormatting sqref="D51">
    <cfRule type="expression" dxfId="479" priority="1180">
      <formula>$H51&lt;&gt;"-"</formula>
    </cfRule>
  </conditionalFormatting>
  <conditionalFormatting sqref="E51">
    <cfRule type="expression" dxfId="478" priority="1179">
      <formula>$I51&lt;&gt;"-"</formula>
    </cfRule>
  </conditionalFormatting>
  <conditionalFormatting sqref="B50">
    <cfRule type="expression" dxfId="477" priority="1176">
      <formula>AD50&lt;&gt;""</formula>
    </cfRule>
  </conditionalFormatting>
  <conditionalFormatting sqref="Z50">
    <cfRule type="cellIs" dxfId="476" priority="1174" operator="greaterThan">
      <formula>0</formula>
    </cfRule>
    <cfRule type="cellIs" dxfId="475" priority="1175" operator="lessThan">
      <formula>0</formula>
    </cfRule>
  </conditionalFormatting>
  <conditionalFormatting sqref="S50">
    <cfRule type="cellIs" dxfId="474" priority="1173" operator="lessThan">
      <formula>0</formula>
    </cfRule>
  </conditionalFormatting>
  <conditionalFormatting sqref="P50">
    <cfRule type="cellIs" dxfId="473" priority="1171" operator="equal">
      <formula>AS_DURATION_EFFORT</formula>
    </cfRule>
    <cfRule type="cellIs" dxfId="472" priority="1172" operator="equal">
      <formula>AS_DEV_EFFORT</formula>
    </cfRule>
  </conditionalFormatting>
  <conditionalFormatting sqref="L50:M50 O50:AC50">
    <cfRule type="expression" dxfId="471" priority="1177">
      <formula>AND($G50="Yes", $S$6="Exclude")</formula>
    </cfRule>
    <cfRule type="expression" dxfId="470" priority="1178">
      <formula>$J50="Yes"</formula>
    </cfRule>
  </conditionalFormatting>
  <conditionalFormatting sqref="F50">
    <cfRule type="expression" dxfId="469" priority="1170">
      <formula>$K50&lt;&gt;""</formula>
    </cfRule>
  </conditionalFormatting>
  <conditionalFormatting sqref="C50">
    <cfRule type="expression" dxfId="468" priority="1169">
      <formula>$G50&lt;&gt;"-"</formula>
    </cfRule>
  </conditionalFormatting>
  <conditionalFormatting sqref="D50">
    <cfRule type="expression" dxfId="467" priority="1168">
      <formula>$H50&lt;&gt;"-"</formula>
    </cfRule>
  </conditionalFormatting>
  <conditionalFormatting sqref="E50">
    <cfRule type="expression" dxfId="466" priority="1167">
      <formula>$I50&lt;&gt;"-"</formula>
    </cfRule>
  </conditionalFormatting>
  <conditionalFormatting sqref="N49:N54">
    <cfRule type="expression" dxfId="465" priority="1165">
      <formula>AND($G49="Yes", $S$6="Exclude")</formula>
    </cfRule>
    <cfRule type="expression" dxfId="464" priority="1166">
      <formula>$J49="Yes"</formula>
    </cfRule>
  </conditionalFormatting>
  <conditionalFormatting sqref="B62">
    <cfRule type="expression" dxfId="463" priority="1162">
      <formula>AD62&lt;&gt;""</formula>
    </cfRule>
  </conditionalFormatting>
  <conditionalFormatting sqref="Z62">
    <cfRule type="cellIs" dxfId="462" priority="1160" operator="greaterThan">
      <formula>0</formula>
    </cfRule>
    <cfRule type="cellIs" dxfId="461" priority="1161" operator="lessThan">
      <formula>0</formula>
    </cfRule>
  </conditionalFormatting>
  <conditionalFormatting sqref="S62">
    <cfRule type="cellIs" dxfId="460" priority="1159" operator="lessThan">
      <formula>0</formula>
    </cfRule>
  </conditionalFormatting>
  <conditionalFormatting sqref="P62">
    <cfRule type="cellIs" dxfId="459" priority="1157" operator="equal">
      <formula>AS_DURATION_EFFORT</formula>
    </cfRule>
    <cfRule type="cellIs" dxfId="458" priority="1158" operator="equal">
      <formula>AS_DEV_EFFORT</formula>
    </cfRule>
  </conditionalFormatting>
  <conditionalFormatting sqref="L62:M62 P62:AC62">
    <cfRule type="expression" dxfId="457" priority="1163">
      <formula>AND($G62="Yes", $S$6="Exclude")</formula>
    </cfRule>
    <cfRule type="expression" dxfId="456" priority="1164">
      <formula>$J62="Yes"</formula>
    </cfRule>
  </conditionalFormatting>
  <conditionalFormatting sqref="F62">
    <cfRule type="expression" dxfId="455" priority="1156">
      <formula>$K62&lt;&gt;""</formula>
    </cfRule>
  </conditionalFormatting>
  <conditionalFormatting sqref="C62">
    <cfRule type="expression" dxfId="454" priority="1155">
      <formula>$G62&lt;&gt;"-"</formula>
    </cfRule>
  </conditionalFormatting>
  <conditionalFormatting sqref="D62">
    <cfRule type="expression" dxfId="453" priority="1154">
      <formula>$H62&lt;&gt;"-"</formula>
    </cfRule>
  </conditionalFormatting>
  <conditionalFormatting sqref="E62">
    <cfRule type="expression" dxfId="452" priority="1153">
      <formula>$I62&lt;&gt;"-"</formula>
    </cfRule>
  </conditionalFormatting>
  <conditionalFormatting sqref="B61">
    <cfRule type="expression" dxfId="451" priority="1150">
      <formula>AD61&lt;&gt;""</formula>
    </cfRule>
  </conditionalFormatting>
  <conditionalFormatting sqref="Z61">
    <cfRule type="cellIs" dxfId="450" priority="1148" operator="greaterThan">
      <formula>0</formula>
    </cfRule>
    <cfRule type="cellIs" dxfId="449" priority="1149" operator="lessThan">
      <formula>0</formula>
    </cfRule>
  </conditionalFormatting>
  <conditionalFormatting sqref="S61">
    <cfRule type="cellIs" dxfId="448" priority="1147" operator="lessThan">
      <formula>0</formula>
    </cfRule>
  </conditionalFormatting>
  <conditionalFormatting sqref="P61">
    <cfRule type="cellIs" dxfId="447" priority="1145" operator="equal">
      <formula>AS_DURATION_EFFORT</formula>
    </cfRule>
    <cfRule type="cellIs" dxfId="446" priority="1146" operator="equal">
      <formula>AS_DEV_EFFORT</formula>
    </cfRule>
  </conditionalFormatting>
  <conditionalFormatting sqref="L61:M61 P61:AC61">
    <cfRule type="expression" dxfId="445" priority="1151">
      <formula>AND($G61="Yes", $S$6="Exclude")</formula>
    </cfRule>
    <cfRule type="expression" dxfId="444" priority="1152">
      <formula>$J61="Yes"</formula>
    </cfRule>
  </conditionalFormatting>
  <conditionalFormatting sqref="F61">
    <cfRule type="expression" dxfId="443" priority="1144">
      <formula>$K61&lt;&gt;""</formula>
    </cfRule>
  </conditionalFormatting>
  <conditionalFormatting sqref="C61">
    <cfRule type="expression" dxfId="442" priority="1143">
      <formula>$G61&lt;&gt;"-"</formula>
    </cfRule>
  </conditionalFormatting>
  <conditionalFormatting sqref="D61">
    <cfRule type="expression" dxfId="441" priority="1142">
      <formula>$H61&lt;&gt;"-"</formula>
    </cfRule>
  </conditionalFormatting>
  <conditionalFormatting sqref="E61">
    <cfRule type="expression" dxfId="440" priority="1141">
      <formula>$I61&lt;&gt;"-"</formula>
    </cfRule>
  </conditionalFormatting>
  <conditionalFormatting sqref="B60">
    <cfRule type="expression" dxfId="439" priority="1138">
      <formula>AD60&lt;&gt;""</formula>
    </cfRule>
  </conditionalFormatting>
  <conditionalFormatting sqref="Z60">
    <cfRule type="cellIs" dxfId="438" priority="1136" operator="greaterThan">
      <formula>0</formula>
    </cfRule>
    <cfRule type="cellIs" dxfId="437" priority="1137" operator="lessThan">
      <formula>0</formula>
    </cfRule>
  </conditionalFormatting>
  <conditionalFormatting sqref="S60">
    <cfRule type="cellIs" dxfId="436" priority="1135" operator="lessThan">
      <formula>0</formula>
    </cfRule>
  </conditionalFormatting>
  <conditionalFormatting sqref="P60">
    <cfRule type="cellIs" dxfId="435" priority="1133" operator="equal">
      <formula>AS_DURATION_EFFORT</formula>
    </cfRule>
    <cfRule type="cellIs" dxfId="434" priority="1134" operator="equal">
      <formula>AS_DEV_EFFORT</formula>
    </cfRule>
  </conditionalFormatting>
  <conditionalFormatting sqref="L60:M60 P60:AC60">
    <cfRule type="expression" dxfId="433" priority="1139">
      <formula>AND($G60="Yes", $S$6="Exclude")</formula>
    </cfRule>
    <cfRule type="expression" dxfId="432" priority="1140">
      <formula>$J60="Yes"</formula>
    </cfRule>
  </conditionalFormatting>
  <conditionalFormatting sqref="F60">
    <cfRule type="expression" dxfId="431" priority="1132">
      <formula>$K60&lt;&gt;""</formula>
    </cfRule>
  </conditionalFormatting>
  <conditionalFormatting sqref="C60">
    <cfRule type="expression" dxfId="430" priority="1131">
      <formula>$G60&lt;&gt;"-"</formula>
    </cfRule>
  </conditionalFormatting>
  <conditionalFormatting sqref="D60">
    <cfRule type="expression" dxfId="429" priority="1130">
      <formula>$H60&lt;&gt;"-"</formula>
    </cfRule>
  </conditionalFormatting>
  <conditionalFormatting sqref="E60">
    <cfRule type="expression" dxfId="428" priority="1129">
      <formula>$I60&lt;&gt;"-"</formula>
    </cfRule>
  </conditionalFormatting>
  <conditionalFormatting sqref="B59">
    <cfRule type="expression" dxfId="427" priority="1126">
      <formula>AD59&lt;&gt;""</formula>
    </cfRule>
  </conditionalFormatting>
  <conditionalFormatting sqref="Z59">
    <cfRule type="cellIs" dxfId="426" priority="1124" operator="greaterThan">
      <formula>0</formula>
    </cfRule>
    <cfRule type="cellIs" dxfId="425" priority="1125" operator="lessThan">
      <formula>0</formula>
    </cfRule>
  </conditionalFormatting>
  <conditionalFormatting sqref="S59">
    <cfRule type="cellIs" dxfId="424" priority="1123" operator="lessThan">
      <formula>0</formula>
    </cfRule>
  </conditionalFormatting>
  <conditionalFormatting sqref="P59">
    <cfRule type="cellIs" dxfId="423" priority="1121" operator="equal">
      <formula>AS_DURATION_EFFORT</formula>
    </cfRule>
    <cfRule type="cellIs" dxfId="422" priority="1122" operator="equal">
      <formula>AS_DEV_EFFORT</formula>
    </cfRule>
  </conditionalFormatting>
  <conditionalFormatting sqref="L59:M59 P59:AC59">
    <cfRule type="expression" dxfId="421" priority="1127">
      <formula>AND($G59="Yes", $S$6="Exclude")</formula>
    </cfRule>
    <cfRule type="expression" dxfId="420" priority="1128">
      <formula>$J59="Yes"</formula>
    </cfRule>
  </conditionalFormatting>
  <conditionalFormatting sqref="F59">
    <cfRule type="expression" dxfId="419" priority="1120">
      <formula>$K59&lt;&gt;""</formula>
    </cfRule>
  </conditionalFormatting>
  <conditionalFormatting sqref="C59">
    <cfRule type="expression" dxfId="418" priority="1119">
      <formula>$G59&lt;&gt;"-"</formula>
    </cfRule>
  </conditionalFormatting>
  <conditionalFormatting sqref="D59">
    <cfRule type="expression" dxfId="417" priority="1118">
      <formula>$H59&lt;&gt;"-"</formula>
    </cfRule>
  </conditionalFormatting>
  <conditionalFormatting sqref="E59">
    <cfRule type="expression" dxfId="416" priority="1117">
      <formula>$I59&lt;&gt;"-"</formula>
    </cfRule>
  </conditionalFormatting>
  <conditionalFormatting sqref="N58:N62">
    <cfRule type="expression" dxfId="415" priority="1115">
      <formula>AND($G58="Yes", $S$6="Exclude")</formula>
    </cfRule>
    <cfRule type="expression" dxfId="414" priority="1116">
      <formula>$J58="Yes"</formula>
    </cfRule>
  </conditionalFormatting>
  <conditionalFormatting sqref="O58:O62">
    <cfRule type="expression" dxfId="413" priority="1113">
      <formula>AND($G58="Yes", $S$6="Exclude")</formula>
    </cfRule>
    <cfRule type="expression" dxfId="412" priority="1114">
      <formula>$J58="Yes"</formula>
    </cfRule>
  </conditionalFormatting>
  <conditionalFormatting sqref="B200">
    <cfRule type="expression" dxfId="411" priority="683">
      <formula>AD200&lt;&gt;""</formula>
    </cfRule>
  </conditionalFormatting>
  <conditionalFormatting sqref="Z200">
    <cfRule type="cellIs" dxfId="410" priority="681" operator="greaterThan">
      <formula>0</formula>
    </cfRule>
    <cfRule type="cellIs" dxfId="409" priority="682" operator="lessThan">
      <formula>0</formula>
    </cfRule>
  </conditionalFormatting>
  <conditionalFormatting sqref="S200">
    <cfRule type="cellIs" dxfId="408" priority="680" operator="lessThan">
      <formula>0</formula>
    </cfRule>
  </conditionalFormatting>
  <conditionalFormatting sqref="T198:T199">
    <cfRule type="expression" dxfId="407" priority="684">
      <formula>#REF!="Yes"</formula>
    </cfRule>
  </conditionalFormatting>
  <conditionalFormatting sqref="P200">
    <cfRule type="cellIs" dxfId="406" priority="678" operator="equal">
      <formula>AS_DURATION_EFFORT</formula>
    </cfRule>
    <cfRule type="cellIs" dxfId="405" priority="679" operator="equal">
      <formula>AS_DEV_EFFORT</formula>
    </cfRule>
  </conditionalFormatting>
  <conditionalFormatting sqref="B198:B199">
    <cfRule type="expression" dxfId="404" priority="677">
      <formula>AD198&lt;&gt;""</formula>
    </cfRule>
  </conditionalFormatting>
  <conditionalFormatting sqref="F200">
    <cfRule type="expression" dxfId="403" priority="676">
      <formula>$K200&lt;&gt;""</formula>
    </cfRule>
  </conditionalFormatting>
  <conditionalFormatting sqref="C200">
    <cfRule type="expression" dxfId="402" priority="675">
      <formula>$G200&lt;&gt;"-"</formula>
    </cfRule>
  </conditionalFormatting>
  <conditionalFormatting sqref="D200">
    <cfRule type="expression" dxfId="401" priority="674">
      <formula>$H200&lt;&gt;"-"</formula>
    </cfRule>
  </conditionalFormatting>
  <conditionalFormatting sqref="E200">
    <cfRule type="expression" dxfId="400" priority="673">
      <formula>$I200&lt;&gt;"-"</formula>
    </cfRule>
  </conditionalFormatting>
  <conditionalFormatting sqref="B201">
    <cfRule type="expression" dxfId="399" priority="672">
      <formula>AD201&lt;&gt;""</formula>
    </cfRule>
  </conditionalFormatting>
  <conditionalFormatting sqref="Z201">
    <cfRule type="cellIs" dxfId="398" priority="670" operator="greaterThan">
      <formula>0</formula>
    </cfRule>
    <cfRule type="cellIs" dxfId="397" priority="671" operator="lessThan">
      <formula>0</formula>
    </cfRule>
  </conditionalFormatting>
  <conditionalFormatting sqref="S201">
    <cfRule type="cellIs" dxfId="396" priority="669" operator="lessThan">
      <formula>0</formula>
    </cfRule>
  </conditionalFormatting>
  <conditionalFormatting sqref="P201">
    <cfRule type="cellIs" dxfId="395" priority="667" operator="equal">
      <formula>AS_DURATION_EFFORT</formula>
    </cfRule>
    <cfRule type="cellIs" dxfId="394" priority="668" operator="equal">
      <formula>AS_DEV_EFFORT</formula>
    </cfRule>
  </conditionalFormatting>
  <conditionalFormatting sqref="F201">
    <cfRule type="expression" dxfId="393" priority="666">
      <formula>$K201&lt;&gt;""</formula>
    </cfRule>
  </conditionalFormatting>
  <conditionalFormatting sqref="C201">
    <cfRule type="expression" dxfId="392" priority="665">
      <formula>$G201&lt;&gt;"-"</formula>
    </cfRule>
  </conditionalFormatting>
  <conditionalFormatting sqref="D201">
    <cfRule type="expression" dxfId="391" priority="664">
      <formula>$H201&lt;&gt;"-"</formula>
    </cfRule>
  </conditionalFormatting>
  <conditionalFormatting sqref="E201">
    <cfRule type="expression" dxfId="390" priority="663">
      <formula>$I201&lt;&gt;"-"</formula>
    </cfRule>
  </conditionalFormatting>
  <conditionalFormatting sqref="B202">
    <cfRule type="expression" dxfId="389" priority="662">
      <formula>AD202&lt;&gt;""</formula>
    </cfRule>
  </conditionalFormatting>
  <conditionalFormatting sqref="Z202">
    <cfRule type="cellIs" dxfId="388" priority="660" operator="greaterThan">
      <formula>0</formula>
    </cfRule>
    <cfRule type="cellIs" dxfId="387" priority="661" operator="lessThan">
      <formula>0</formula>
    </cfRule>
  </conditionalFormatting>
  <conditionalFormatting sqref="S202">
    <cfRule type="cellIs" dxfId="386" priority="659" operator="lessThan">
      <formula>0</formula>
    </cfRule>
  </conditionalFormatting>
  <conditionalFormatting sqref="P202">
    <cfRule type="cellIs" dxfId="385" priority="657" operator="equal">
      <formula>AS_DURATION_EFFORT</formula>
    </cfRule>
    <cfRule type="cellIs" dxfId="384" priority="658" operator="equal">
      <formula>AS_DEV_EFFORT</formula>
    </cfRule>
  </conditionalFormatting>
  <conditionalFormatting sqref="F202">
    <cfRule type="expression" dxfId="383" priority="656">
      <formula>$K202&lt;&gt;""</formula>
    </cfRule>
  </conditionalFormatting>
  <conditionalFormatting sqref="C202">
    <cfRule type="expression" dxfId="382" priority="655">
      <formula>$G202&lt;&gt;"-"</formula>
    </cfRule>
  </conditionalFormatting>
  <conditionalFormatting sqref="D202">
    <cfRule type="expression" dxfId="381" priority="654">
      <formula>$H202&lt;&gt;"-"</formula>
    </cfRule>
  </conditionalFormatting>
  <conditionalFormatting sqref="E202">
    <cfRule type="expression" dxfId="380" priority="653">
      <formula>$I202&lt;&gt;"-"</formula>
    </cfRule>
  </conditionalFormatting>
  <conditionalFormatting sqref="B203">
    <cfRule type="expression" dxfId="379" priority="652">
      <formula>AD203&lt;&gt;""</formula>
    </cfRule>
  </conditionalFormatting>
  <conditionalFormatting sqref="Z203">
    <cfRule type="cellIs" dxfId="378" priority="650" operator="greaterThan">
      <formula>0</formula>
    </cfRule>
    <cfRule type="cellIs" dxfId="377" priority="651" operator="lessThan">
      <formula>0</formula>
    </cfRule>
  </conditionalFormatting>
  <conditionalFormatting sqref="S203">
    <cfRule type="cellIs" dxfId="376" priority="649" operator="lessThan">
      <formula>0</formula>
    </cfRule>
  </conditionalFormatting>
  <conditionalFormatting sqref="P203">
    <cfRule type="cellIs" dxfId="375" priority="647" operator="equal">
      <formula>AS_DURATION_EFFORT</formula>
    </cfRule>
    <cfRule type="cellIs" dxfId="374" priority="648" operator="equal">
      <formula>AS_DEV_EFFORT</formula>
    </cfRule>
  </conditionalFormatting>
  <conditionalFormatting sqref="F203">
    <cfRule type="expression" dxfId="373" priority="646">
      <formula>$K203&lt;&gt;""</formula>
    </cfRule>
  </conditionalFormatting>
  <conditionalFormatting sqref="C203">
    <cfRule type="expression" dxfId="372" priority="645">
      <formula>$G203&lt;&gt;"-"</formula>
    </cfRule>
  </conditionalFormatting>
  <conditionalFormatting sqref="D203">
    <cfRule type="expression" dxfId="371" priority="644">
      <formula>$H203&lt;&gt;"-"</formula>
    </cfRule>
  </conditionalFormatting>
  <conditionalFormatting sqref="E203">
    <cfRule type="expression" dxfId="370" priority="643">
      <formula>$I203&lt;&gt;"-"</formula>
    </cfRule>
  </conditionalFormatting>
  <conditionalFormatting sqref="B194">
    <cfRule type="expression" dxfId="369" priority="639">
      <formula>AD194&lt;&gt;""</formula>
    </cfRule>
  </conditionalFormatting>
  <conditionalFormatting sqref="Z194">
    <cfRule type="cellIs" dxfId="368" priority="637" operator="greaterThan">
      <formula>0</formula>
    </cfRule>
    <cfRule type="cellIs" dxfId="367" priority="638" operator="lessThan">
      <formula>0</formula>
    </cfRule>
  </conditionalFormatting>
  <conditionalFormatting sqref="S194">
    <cfRule type="cellIs" dxfId="366" priority="636" operator="lessThan">
      <formula>0</formula>
    </cfRule>
  </conditionalFormatting>
  <conditionalFormatting sqref="T192:T193">
    <cfRule type="expression" dxfId="365" priority="640">
      <formula>#REF!="Yes"</formula>
    </cfRule>
  </conditionalFormatting>
  <conditionalFormatting sqref="P194">
    <cfRule type="cellIs" dxfId="364" priority="634" operator="equal">
      <formula>AS_DURATION_EFFORT</formula>
    </cfRule>
    <cfRule type="cellIs" dxfId="363" priority="635" operator="equal">
      <formula>AS_DEV_EFFORT</formula>
    </cfRule>
  </conditionalFormatting>
  <conditionalFormatting sqref="B192:B193">
    <cfRule type="expression" dxfId="362" priority="633">
      <formula>AD192&lt;&gt;""</formula>
    </cfRule>
  </conditionalFormatting>
  <conditionalFormatting sqref="F194">
    <cfRule type="expression" dxfId="361" priority="632">
      <formula>$K194&lt;&gt;""</formula>
    </cfRule>
  </conditionalFormatting>
  <conditionalFormatting sqref="C194">
    <cfRule type="expression" dxfId="360" priority="631">
      <formula>$G194&lt;&gt;"-"</formula>
    </cfRule>
  </conditionalFormatting>
  <conditionalFormatting sqref="D194">
    <cfRule type="expression" dxfId="359" priority="630">
      <formula>$H194&lt;&gt;"-"</formula>
    </cfRule>
  </conditionalFormatting>
  <conditionalFormatting sqref="E194">
    <cfRule type="expression" dxfId="358" priority="629">
      <formula>$I194&lt;&gt;"-"</formula>
    </cfRule>
  </conditionalFormatting>
  <conditionalFormatting sqref="S191">
    <cfRule type="expression" dxfId="357" priority="628">
      <formula>#REF!="Yes"</formula>
    </cfRule>
  </conditionalFormatting>
  <conditionalFormatting sqref="B191">
    <cfRule type="expression" dxfId="356" priority="627">
      <formula>AD191&lt;&gt;""</formula>
    </cfRule>
  </conditionalFormatting>
  <conditionalFormatting sqref="B195">
    <cfRule type="expression" dxfId="355" priority="624">
      <formula>AD195&lt;&gt;""</formula>
    </cfRule>
  </conditionalFormatting>
  <conditionalFormatting sqref="Z195">
    <cfRule type="cellIs" dxfId="354" priority="622" operator="greaterThan">
      <formula>0</formula>
    </cfRule>
    <cfRule type="cellIs" dxfId="353" priority="623" operator="lessThan">
      <formula>0</formula>
    </cfRule>
  </conditionalFormatting>
  <conditionalFormatting sqref="S195">
    <cfRule type="cellIs" dxfId="352" priority="621" operator="lessThan">
      <formula>0</formula>
    </cfRule>
  </conditionalFormatting>
  <conditionalFormatting sqref="F195">
    <cfRule type="expression" dxfId="351" priority="618">
      <formula>$K195&lt;&gt;""</formula>
    </cfRule>
  </conditionalFormatting>
  <conditionalFormatting sqref="C195">
    <cfRule type="expression" dxfId="350" priority="617">
      <formula>$G195&lt;&gt;"-"</formula>
    </cfRule>
  </conditionalFormatting>
  <conditionalFormatting sqref="D195">
    <cfRule type="expression" dxfId="349" priority="616">
      <formula>$H195&lt;&gt;"-"</formula>
    </cfRule>
  </conditionalFormatting>
  <conditionalFormatting sqref="E195">
    <cfRule type="expression" dxfId="348" priority="615">
      <formula>$I195&lt;&gt;"-"</formula>
    </cfRule>
  </conditionalFormatting>
  <conditionalFormatting sqref="P195">
    <cfRule type="cellIs" dxfId="347" priority="609" operator="equal">
      <formula>AS_DURATION_EFFORT</formula>
    </cfRule>
    <cfRule type="cellIs" dxfId="346" priority="610" operator="equal">
      <formula>AS_DEV_EFFORT</formula>
    </cfRule>
  </conditionalFormatting>
  <conditionalFormatting sqref="S197">
    <cfRule type="expression" dxfId="345" priority="608">
      <formula>#REF!="Yes"</formula>
    </cfRule>
  </conditionalFormatting>
  <conditionalFormatting sqref="B197">
    <cfRule type="expression" dxfId="344" priority="607">
      <formula>AD197&lt;&gt;""</formula>
    </cfRule>
  </conditionalFormatting>
  <conditionalFormatting sqref="P208">
    <cfRule type="cellIs" dxfId="343" priority="603" operator="equal">
      <formula>AS_DURATION_EFFORT</formula>
    </cfRule>
    <cfRule type="cellIs" dxfId="342" priority="604" operator="equal">
      <formula>AS_DEV_EFFORT</formula>
    </cfRule>
  </conditionalFormatting>
  <conditionalFormatting sqref="B221">
    <cfRule type="expression" dxfId="341" priority="598">
      <formula>AD221&lt;&gt;""</formula>
    </cfRule>
  </conditionalFormatting>
  <conditionalFormatting sqref="Z221">
    <cfRule type="cellIs" dxfId="340" priority="596" operator="greaterThan">
      <formula>0</formula>
    </cfRule>
    <cfRule type="cellIs" dxfId="339" priority="597" operator="lessThan">
      <formula>0</formula>
    </cfRule>
  </conditionalFormatting>
  <conditionalFormatting sqref="S221">
    <cfRule type="cellIs" dxfId="338" priority="595" operator="lessThan">
      <formula>0</formula>
    </cfRule>
  </conditionalFormatting>
  <conditionalFormatting sqref="P221">
    <cfRule type="cellIs" dxfId="337" priority="593" operator="equal">
      <formula>AS_DURATION_EFFORT</formula>
    </cfRule>
    <cfRule type="cellIs" dxfId="336" priority="594" operator="equal">
      <formula>AS_DEV_EFFORT</formula>
    </cfRule>
  </conditionalFormatting>
  <conditionalFormatting sqref="F221">
    <cfRule type="expression" dxfId="335" priority="592">
      <formula>$K221&lt;&gt;""</formula>
    </cfRule>
  </conditionalFormatting>
  <conditionalFormatting sqref="C221">
    <cfRule type="expression" dxfId="334" priority="591">
      <formula>$G221&lt;&gt;"-"</formula>
    </cfRule>
  </conditionalFormatting>
  <conditionalFormatting sqref="D221">
    <cfRule type="expression" dxfId="333" priority="590">
      <formula>$H221&lt;&gt;"-"</formula>
    </cfRule>
  </conditionalFormatting>
  <conditionalFormatting sqref="E221">
    <cfRule type="expression" dxfId="332" priority="589">
      <formula>$I221&lt;&gt;"-"</formula>
    </cfRule>
  </conditionalFormatting>
  <conditionalFormatting sqref="B222">
    <cfRule type="expression" dxfId="331" priority="586">
      <formula>AD222&lt;&gt;""</formula>
    </cfRule>
  </conditionalFormatting>
  <conditionalFormatting sqref="Z222">
    <cfRule type="cellIs" dxfId="330" priority="584" operator="greaterThan">
      <formula>0</formula>
    </cfRule>
    <cfRule type="cellIs" dxfId="329" priority="585" operator="lessThan">
      <formula>0</formula>
    </cfRule>
  </conditionalFormatting>
  <conditionalFormatting sqref="S222">
    <cfRule type="cellIs" dxfId="328" priority="583" operator="lessThan">
      <formula>0</formula>
    </cfRule>
  </conditionalFormatting>
  <conditionalFormatting sqref="P222">
    <cfRule type="cellIs" dxfId="327" priority="581" operator="equal">
      <formula>AS_DURATION_EFFORT</formula>
    </cfRule>
    <cfRule type="cellIs" dxfId="326" priority="582" operator="equal">
      <formula>AS_DEV_EFFORT</formula>
    </cfRule>
  </conditionalFormatting>
  <conditionalFormatting sqref="F222">
    <cfRule type="expression" dxfId="325" priority="580">
      <formula>$K222&lt;&gt;""</formula>
    </cfRule>
  </conditionalFormatting>
  <conditionalFormatting sqref="C222">
    <cfRule type="expression" dxfId="324" priority="579">
      <formula>$G222&lt;&gt;"-"</formula>
    </cfRule>
  </conditionalFormatting>
  <conditionalFormatting sqref="D222">
    <cfRule type="expression" dxfId="323" priority="578">
      <formula>$H222&lt;&gt;"-"</formula>
    </cfRule>
  </conditionalFormatting>
  <conditionalFormatting sqref="E222">
    <cfRule type="expression" dxfId="322" priority="577">
      <formula>$I222&lt;&gt;"-"</formula>
    </cfRule>
  </conditionalFormatting>
  <conditionalFormatting sqref="Q28">
    <cfRule type="expression" dxfId="321" priority="575">
      <formula>AND($G28="Yes", $S$6="Exclude")</formula>
    </cfRule>
    <cfRule type="expression" dxfId="320" priority="576">
      <formula>$J28="Yes"</formula>
    </cfRule>
  </conditionalFormatting>
  <conditionalFormatting sqref="X30">
    <cfRule type="expression" dxfId="319" priority="573">
      <formula>AND($G30="Yes", $S$6="Exclude")</formula>
    </cfRule>
    <cfRule type="expression" dxfId="318" priority="574">
      <formula>$J30="Yes"</formula>
    </cfRule>
  </conditionalFormatting>
  <conditionalFormatting sqref="Q35:R35">
    <cfRule type="expression" dxfId="317" priority="571">
      <formula>AND($G35="Yes", $S$6="Exclude")</formula>
    </cfRule>
    <cfRule type="expression" dxfId="316" priority="572">
      <formula>$J35="Yes"</formula>
    </cfRule>
  </conditionalFormatting>
  <conditionalFormatting sqref="Q39:R39">
    <cfRule type="expression" dxfId="315" priority="569">
      <formula>AND($G39="Yes", $S$6="Exclude")</formula>
    </cfRule>
    <cfRule type="expression" dxfId="314" priority="570">
      <formula>$J39="Yes"</formula>
    </cfRule>
  </conditionalFormatting>
  <conditionalFormatting sqref="Q38:R38">
    <cfRule type="expression" dxfId="313" priority="567">
      <formula>AND($G38="Yes", $S$6="Exclude")</formula>
    </cfRule>
    <cfRule type="expression" dxfId="312" priority="568">
      <formula>$J38="Yes"</formula>
    </cfRule>
  </conditionalFormatting>
  <conditionalFormatting sqref="Q37:R37">
    <cfRule type="expression" dxfId="311" priority="565">
      <formula>AND($G37="Yes", $S$6="Exclude")</formula>
    </cfRule>
    <cfRule type="expression" dxfId="310" priority="566">
      <formula>$J37="Yes"</formula>
    </cfRule>
  </conditionalFormatting>
  <conditionalFormatting sqref="Q36:R36">
    <cfRule type="expression" dxfId="309" priority="563">
      <formula>AND($G36="Yes", $S$6="Exclude")</formula>
    </cfRule>
    <cfRule type="expression" dxfId="308" priority="564">
      <formula>$J36="Yes"</formula>
    </cfRule>
  </conditionalFormatting>
  <conditionalFormatting sqref="B75">
    <cfRule type="expression" dxfId="307" priority="560">
      <formula>AD75&lt;&gt;""</formula>
    </cfRule>
  </conditionalFormatting>
  <conditionalFormatting sqref="Z75">
    <cfRule type="cellIs" dxfId="306" priority="558" operator="greaterThan">
      <formula>0</formula>
    </cfRule>
    <cfRule type="cellIs" dxfId="305" priority="559" operator="lessThan">
      <formula>0</formula>
    </cfRule>
  </conditionalFormatting>
  <conditionalFormatting sqref="S75">
    <cfRule type="cellIs" dxfId="304" priority="557" operator="lessThan">
      <formula>0</formula>
    </cfRule>
  </conditionalFormatting>
  <conditionalFormatting sqref="P75">
    <cfRule type="cellIs" dxfId="303" priority="555" operator="equal">
      <formula>AS_DURATION_EFFORT</formula>
    </cfRule>
    <cfRule type="cellIs" dxfId="302" priority="556" operator="equal">
      <formula>AS_DEV_EFFORT</formula>
    </cfRule>
  </conditionalFormatting>
  <conditionalFormatting sqref="L75:AC75">
    <cfRule type="expression" dxfId="301" priority="561">
      <formula>AND($G75="Yes", $S$6="Exclude")</formula>
    </cfRule>
    <cfRule type="expression" dxfId="300" priority="562">
      <formula>$J75="Yes"</formula>
    </cfRule>
  </conditionalFormatting>
  <conditionalFormatting sqref="F75">
    <cfRule type="expression" dxfId="299" priority="554">
      <formula>$K75&lt;&gt;""</formula>
    </cfRule>
  </conditionalFormatting>
  <conditionalFormatting sqref="C75">
    <cfRule type="expression" dxfId="298" priority="553">
      <formula>$G75&lt;&gt;"-"</formula>
    </cfRule>
  </conditionalFormatting>
  <conditionalFormatting sqref="D75">
    <cfRule type="expression" dxfId="297" priority="552">
      <formula>$H75&lt;&gt;"-"</formula>
    </cfRule>
  </conditionalFormatting>
  <conditionalFormatting sqref="E75">
    <cfRule type="expression" dxfId="296" priority="551">
      <formula>$I75&lt;&gt;"-"</formula>
    </cfRule>
  </conditionalFormatting>
  <conditionalFormatting sqref="B76">
    <cfRule type="expression" dxfId="295" priority="548">
      <formula>AD76&lt;&gt;""</formula>
    </cfRule>
  </conditionalFormatting>
  <conditionalFormatting sqref="Z76">
    <cfRule type="cellIs" dxfId="294" priority="546" operator="greaterThan">
      <formula>0</formula>
    </cfRule>
    <cfRule type="cellIs" dxfId="293" priority="547" operator="lessThan">
      <formula>0</formula>
    </cfRule>
  </conditionalFormatting>
  <conditionalFormatting sqref="S76">
    <cfRule type="cellIs" dxfId="292" priority="545" operator="lessThan">
      <formula>0</formula>
    </cfRule>
  </conditionalFormatting>
  <conditionalFormatting sqref="P76">
    <cfRule type="cellIs" dxfId="291" priority="543" operator="equal">
      <formula>AS_DURATION_EFFORT</formula>
    </cfRule>
    <cfRule type="cellIs" dxfId="290" priority="544" operator="equal">
      <formula>AS_DEV_EFFORT</formula>
    </cfRule>
  </conditionalFormatting>
  <conditionalFormatting sqref="L76:M76 O76:AC76">
    <cfRule type="expression" dxfId="289" priority="549">
      <formula>AND($G76="Yes", $S$6="Exclude")</formula>
    </cfRule>
    <cfRule type="expression" dxfId="288" priority="550">
      <formula>$J76="Yes"</formula>
    </cfRule>
  </conditionalFormatting>
  <conditionalFormatting sqref="F76">
    <cfRule type="expression" dxfId="287" priority="542">
      <formula>$K76&lt;&gt;""</formula>
    </cfRule>
  </conditionalFormatting>
  <conditionalFormatting sqref="C76">
    <cfRule type="expression" dxfId="286" priority="541">
      <formula>$G76&lt;&gt;"-"</formula>
    </cfRule>
  </conditionalFormatting>
  <conditionalFormatting sqref="D76">
    <cfRule type="expression" dxfId="285" priority="540">
      <formula>$H76&lt;&gt;"-"</formula>
    </cfRule>
  </conditionalFormatting>
  <conditionalFormatting sqref="E76">
    <cfRule type="expression" dxfId="284" priority="539">
      <formula>$I76&lt;&gt;"-"</formula>
    </cfRule>
  </conditionalFormatting>
  <conditionalFormatting sqref="N76">
    <cfRule type="expression" dxfId="283" priority="537">
      <formula>AND($G76="Yes", $S$6="Exclude")</formula>
    </cfRule>
    <cfRule type="expression" dxfId="282" priority="538">
      <formula>$J76="Yes"</formula>
    </cfRule>
  </conditionalFormatting>
  <conditionalFormatting sqref="N107:N110">
    <cfRule type="expression" dxfId="281" priority="535">
      <formula>AND($G107="Yes", $S$6="Exclude")</formula>
    </cfRule>
    <cfRule type="expression" dxfId="280" priority="536">
      <formula>$J107="Yes"</formula>
    </cfRule>
  </conditionalFormatting>
  <conditionalFormatting sqref="B115">
    <cfRule type="expression" dxfId="279" priority="517">
      <formula>AD115&lt;&gt;""</formula>
    </cfRule>
  </conditionalFormatting>
  <conditionalFormatting sqref="Z115">
    <cfRule type="cellIs" dxfId="278" priority="515" operator="greaterThan">
      <formula>0</formula>
    </cfRule>
    <cfRule type="cellIs" dxfId="277" priority="516" operator="lessThan">
      <formula>0</formula>
    </cfRule>
  </conditionalFormatting>
  <conditionalFormatting sqref="S115">
    <cfRule type="cellIs" dxfId="276" priority="514" operator="lessThan">
      <formula>0</formula>
    </cfRule>
  </conditionalFormatting>
  <conditionalFormatting sqref="T113:T114">
    <cfRule type="expression" dxfId="275" priority="518">
      <formula>#REF!="Yes"</formula>
    </cfRule>
  </conditionalFormatting>
  <conditionalFormatting sqref="P115">
    <cfRule type="cellIs" dxfId="274" priority="512" operator="equal">
      <formula>AS_DURATION_EFFORT</formula>
    </cfRule>
    <cfRule type="cellIs" dxfId="273" priority="513" operator="equal">
      <formula>AS_DEV_EFFORT</formula>
    </cfRule>
  </conditionalFormatting>
  <conditionalFormatting sqref="B113:B114">
    <cfRule type="expression" dxfId="272" priority="511">
      <formula>AD113&lt;&gt;""</formula>
    </cfRule>
  </conditionalFormatting>
  <conditionalFormatting sqref="L115:AC115">
    <cfRule type="expression" dxfId="271" priority="519">
      <formula>AND($G115="Yes", $S$6="Exclude")</formula>
    </cfRule>
    <cfRule type="expression" dxfId="270" priority="520">
      <formula>$J115="Yes"</formula>
    </cfRule>
  </conditionalFormatting>
  <conditionalFormatting sqref="F115">
    <cfRule type="expression" dxfId="269" priority="510">
      <formula>$K115&lt;&gt;""</formula>
    </cfRule>
  </conditionalFormatting>
  <conditionalFormatting sqref="C115">
    <cfRule type="expression" dxfId="268" priority="509">
      <formula>$G115&lt;&gt;"-"</formula>
    </cfRule>
  </conditionalFormatting>
  <conditionalFormatting sqref="D115">
    <cfRule type="expression" dxfId="267" priority="508">
      <formula>$H115&lt;&gt;"-"</formula>
    </cfRule>
  </conditionalFormatting>
  <conditionalFormatting sqref="E115">
    <cfRule type="expression" dxfId="266" priority="507">
      <formula>$I115&lt;&gt;"-"</formula>
    </cfRule>
  </conditionalFormatting>
  <conditionalFormatting sqref="B116">
    <cfRule type="expression" dxfId="265" priority="504">
      <formula>AD116&lt;&gt;""</formula>
    </cfRule>
  </conditionalFormatting>
  <conditionalFormatting sqref="Z116">
    <cfRule type="cellIs" dxfId="264" priority="502" operator="greaterThan">
      <formula>0</formula>
    </cfRule>
    <cfRule type="cellIs" dxfId="263" priority="503" operator="lessThan">
      <formula>0</formula>
    </cfRule>
  </conditionalFormatting>
  <conditionalFormatting sqref="S116">
    <cfRule type="cellIs" dxfId="262" priority="501" operator="lessThan">
      <formula>0</formula>
    </cfRule>
  </conditionalFormatting>
  <conditionalFormatting sqref="P116">
    <cfRule type="cellIs" dxfId="261" priority="499" operator="equal">
      <formula>AS_DURATION_EFFORT</formula>
    </cfRule>
    <cfRule type="cellIs" dxfId="260" priority="500" operator="equal">
      <formula>AS_DEV_EFFORT</formula>
    </cfRule>
  </conditionalFormatting>
  <conditionalFormatting sqref="L116:AC116">
    <cfRule type="expression" dxfId="259" priority="505">
      <formula>AND($G116="Yes", $S$6="Exclude")</formula>
    </cfRule>
    <cfRule type="expression" dxfId="258" priority="506">
      <formula>$J116="Yes"</formula>
    </cfRule>
  </conditionalFormatting>
  <conditionalFormatting sqref="F116">
    <cfRule type="expression" dxfId="257" priority="498">
      <formula>$K116&lt;&gt;""</formula>
    </cfRule>
  </conditionalFormatting>
  <conditionalFormatting sqref="C116">
    <cfRule type="expression" dxfId="256" priority="497">
      <formula>$G116&lt;&gt;"-"</formula>
    </cfRule>
  </conditionalFormatting>
  <conditionalFormatting sqref="D116">
    <cfRule type="expression" dxfId="255" priority="496">
      <formula>$H116&lt;&gt;"-"</formula>
    </cfRule>
  </conditionalFormatting>
  <conditionalFormatting sqref="E116">
    <cfRule type="expression" dxfId="254" priority="495">
      <formula>$I116&lt;&gt;"-"</formula>
    </cfRule>
  </conditionalFormatting>
  <conditionalFormatting sqref="B120">
    <cfRule type="expression" dxfId="253" priority="491">
      <formula>AD120&lt;&gt;""</formula>
    </cfRule>
  </conditionalFormatting>
  <conditionalFormatting sqref="Z120">
    <cfRule type="cellIs" dxfId="252" priority="489" operator="greaterThan">
      <formula>0</formula>
    </cfRule>
    <cfRule type="cellIs" dxfId="251" priority="490" operator="lessThan">
      <formula>0</formula>
    </cfRule>
  </conditionalFormatting>
  <conditionalFormatting sqref="S120">
    <cfRule type="cellIs" dxfId="250" priority="488" operator="lessThan">
      <formula>0</formula>
    </cfRule>
  </conditionalFormatting>
  <conditionalFormatting sqref="T118:T119">
    <cfRule type="expression" dxfId="249" priority="492">
      <formula>#REF!="Yes"</formula>
    </cfRule>
  </conditionalFormatting>
  <conditionalFormatting sqref="P120">
    <cfRule type="cellIs" dxfId="248" priority="486" operator="equal">
      <formula>AS_DURATION_EFFORT</formula>
    </cfRule>
    <cfRule type="cellIs" dxfId="247" priority="487" operator="equal">
      <formula>AS_DEV_EFFORT</formula>
    </cfRule>
  </conditionalFormatting>
  <conditionalFormatting sqref="B118:B119">
    <cfRule type="expression" dxfId="246" priority="485">
      <formula>AD118&lt;&gt;""</formula>
    </cfRule>
  </conditionalFormatting>
  <conditionalFormatting sqref="L120:AC120">
    <cfRule type="expression" dxfId="245" priority="493">
      <formula>AND($G120="Yes", $S$6="Exclude")</formula>
    </cfRule>
    <cfRule type="expression" dxfId="244" priority="494">
      <formula>$J120="Yes"</formula>
    </cfRule>
  </conditionalFormatting>
  <conditionalFormatting sqref="F120">
    <cfRule type="expression" dxfId="243" priority="484">
      <formula>$K120&lt;&gt;""</formula>
    </cfRule>
  </conditionalFormatting>
  <conditionalFormatting sqref="C120">
    <cfRule type="expression" dxfId="242" priority="483">
      <formula>$G120&lt;&gt;"-"</formula>
    </cfRule>
  </conditionalFormatting>
  <conditionalFormatting sqref="D120">
    <cfRule type="expression" dxfId="241" priority="482">
      <formula>$H120&lt;&gt;"-"</formula>
    </cfRule>
  </conditionalFormatting>
  <conditionalFormatting sqref="E120">
    <cfRule type="expression" dxfId="240" priority="481">
      <formula>$I120&lt;&gt;"-"</formula>
    </cfRule>
  </conditionalFormatting>
  <conditionalFormatting sqref="B124">
    <cfRule type="expression" dxfId="239" priority="477">
      <formula>AD124&lt;&gt;""</formula>
    </cfRule>
  </conditionalFormatting>
  <conditionalFormatting sqref="Z124">
    <cfRule type="cellIs" dxfId="238" priority="475" operator="greaterThan">
      <formula>0</formula>
    </cfRule>
    <cfRule type="cellIs" dxfId="237" priority="476" operator="lessThan">
      <formula>0</formula>
    </cfRule>
  </conditionalFormatting>
  <conditionalFormatting sqref="S124">
    <cfRule type="cellIs" dxfId="236" priority="474" operator="lessThan">
      <formula>0</formula>
    </cfRule>
  </conditionalFormatting>
  <conditionalFormatting sqref="T122:T123">
    <cfRule type="expression" dxfId="235" priority="478">
      <formula>#REF!="Yes"</formula>
    </cfRule>
  </conditionalFormatting>
  <conditionalFormatting sqref="P124">
    <cfRule type="cellIs" dxfId="234" priority="472" operator="equal">
      <formula>AS_DURATION_EFFORT</formula>
    </cfRule>
    <cfRule type="cellIs" dxfId="233" priority="473" operator="equal">
      <formula>AS_DEV_EFFORT</formula>
    </cfRule>
  </conditionalFormatting>
  <conditionalFormatting sqref="B122:B123">
    <cfRule type="expression" dxfId="232" priority="471">
      <formula>AD122&lt;&gt;""</formula>
    </cfRule>
  </conditionalFormatting>
  <conditionalFormatting sqref="L124:AC124">
    <cfRule type="expression" dxfId="231" priority="479">
      <formula>AND($G124="Yes", $S$6="Exclude")</formula>
    </cfRule>
    <cfRule type="expression" dxfId="230" priority="480">
      <formula>$J124="Yes"</formula>
    </cfRule>
  </conditionalFormatting>
  <conditionalFormatting sqref="F124">
    <cfRule type="expression" dxfId="229" priority="470">
      <formula>$K124&lt;&gt;""</formula>
    </cfRule>
  </conditionalFormatting>
  <conditionalFormatting sqref="C124">
    <cfRule type="expression" dxfId="228" priority="469">
      <formula>$G124&lt;&gt;"-"</formula>
    </cfRule>
  </conditionalFormatting>
  <conditionalFormatting sqref="D124">
    <cfRule type="expression" dxfId="227" priority="468">
      <formula>$H124&lt;&gt;"-"</formula>
    </cfRule>
  </conditionalFormatting>
  <conditionalFormatting sqref="E124">
    <cfRule type="expression" dxfId="226" priority="467">
      <formula>$I124&lt;&gt;"-"</formula>
    </cfRule>
  </conditionalFormatting>
  <conditionalFormatting sqref="B132">
    <cfRule type="expression" dxfId="225" priority="449">
      <formula>AD132&lt;&gt;""</formula>
    </cfRule>
  </conditionalFormatting>
  <conditionalFormatting sqref="Z132">
    <cfRule type="cellIs" dxfId="224" priority="447" operator="greaterThan">
      <formula>0</formula>
    </cfRule>
    <cfRule type="cellIs" dxfId="223" priority="448" operator="lessThan">
      <formula>0</formula>
    </cfRule>
  </conditionalFormatting>
  <conditionalFormatting sqref="S132">
    <cfRule type="cellIs" dxfId="222" priority="446" operator="lessThan">
      <formula>0</formula>
    </cfRule>
  </conditionalFormatting>
  <conditionalFormatting sqref="T130:T131">
    <cfRule type="expression" dxfId="221" priority="450">
      <formula>#REF!="Yes"</formula>
    </cfRule>
  </conditionalFormatting>
  <conditionalFormatting sqref="P132">
    <cfRule type="cellIs" dxfId="220" priority="444" operator="equal">
      <formula>AS_DURATION_EFFORT</formula>
    </cfRule>
    <cfRule type="cellIs" dxfId="219" priority="445" operator="equal">
      <formula>AS_DEV_EFFORT</formula>
    </cfRule>
  </conditionalFormatting>
  <conditionalFormatting sqref="B130:B131">
    <cfRule type="expression" dxfId="218" priority="443">
      <formula>AD130&lt;&gt;""</formula>
    </cfRule>
  </conditionalFormatting>
  <conditionalFormatting sqref="L132:M132 O132:AC132">
    <cfRule type="expression" dxfId="217" priority="451">
      <formula>AND($G132="Yes", $S$6="Exclude")</formula>
    </cfRule>
    <cfRule type="expression" dxfId="216" priority="452">
      <formula>$J132="Yes"</formula>
    </cfRule>
  </conditionalFormatting>
  <conditionalFormatting sqref="F132">
    <cfRule type="expression" dxfId="215" priority="442">
      <formula>$K132&lt;&gt;""</formula>
    </cfRule>
  </conditionalFormatting>
  <conditionalFormatting sqref="C132">
    <cfRule type="expression" dxfId="214" priority="441">
      <formula>$G132&lt;&gt;"-"</formula>
    </cfRule>
  </conditionalFormatting>
  <conditionalFormatting sqref="D132">
    <cfRule type="expression" dxfId="213" priority="440">
      <formula>$H132&lt;&gt;"-"</formula>
    </cfRule>
  </conditionalFormatting>
  <conditionalFormatting sqref="E132">
    <cfRule type="expression" dxfId="212" priority="439">
      <formula>$I132&lt;&gt;"-"</formula>
    </cfRule>
  </conditionalFormatting>
  <conditionalFormatting sqref="N132">
    <cfRule type="expression" dxfId="211" priority="437">
      <formula>AND($G132="Yes", $S$6="Exclude")</formula>
    </cfRule>
    <cfRule type="expression" dxfId="210" priority="438">
      <formula>$J132="Yes"</formula>
    </cfRule>
  </conditionalFormatting>
  <conditionalFormatting sqref="B128">
    <cfRule type="expression" dxfId="209" priority="419">
      <formula>AD128&lt;&gt;""</formula>
    </cfRule>
  </conditionalFormatting>
  <conditionalFormatting sqref="Z128">
    <cfRule type="cellIs" dxfId="208" priority="417" operator="greaterThan">
      <formula>0</formula>
    </cfRule>
    <cfRule type="cellIs" dxfId="207" priority="418" operator="lessThan">
      <formula>0</formula>
    </cfRule>
  </conditionalFormatting>
  <conditionalFormatting sqref="S128">
    <cfRule type="cellIs" dxfId="206" priority="416" operator="lessThan">
      <formula>0</formula>
    </cfRule>
  </conditionalFormatting>
  <conditionalFormatting sqref="T126:T127">
    <cfRule type="expression" dxfId="205" priority="420">
      <formula>#REF!="Yes"</formula>
    </cfRule>
  </conditionalFormatting>
  <conditionalFormatting sqref="P128">
    <cfRule type="cellIs" dxfId="204" priority="414" operator="equal">
      <formula>AS_DURATION_EFFORT</formula>
    </cfRule>
    <cfRule type="cellIs" dxfId="203" priority="415" operator="equal">
      <formula>AS_DEV_EFFORT</formula>
    </cfRule>
  </conditionalFormatting>
  <conditionalFormatting sqref="B126:B127">
    <cfRule type="expression" dxfId="202" priority="413">
      <formula>AD126&lt;&gt;""</formula>
    </cfRule>
  </conditionalFormatting>
  <conditionalFormatting sqref="L128:AC128">
    <cfRule type="expression" dxfId="201" priority="421">
      <formula>AND($G128="Yes", $S$6="Exclude")</formula>
    </cfRule>
    <cfRule type="expression" dxfId="200" priority="422">
      <formula>$J128="Yes"</formula>
    </cfRule>
  </conditionalFormatting>
  <conditionalFormatting sqref="F128">
    <cfRule type="expression" dxfId="199" priority="412">
      <formula>$K128&lt;&gt;""</formula>
    </cfRule>
  </conditionalFormatting>
  <conditionalFormatting sqref="C128">
    <cfRule type="expression" dxfId="198" priority="411">
      <formula>$G128&lt;&gt;"-"</formula>
    </cfRule>
  </conditionalFormatting>
  <conditionalFormatting sqref="D128">
    <cfRule type="expression" dxfId="197" priority="410">
      <formula>$H128&lt;&gt;"-"</formula>
    </cfRule>
  </conditionalFormatting>
  <conditionalFormatting sqref="E128">
    <cfRule type="expression" dxfId="196" priority="409">
      <formula>$I128&lt;&gt;"-"</formula>
    </cfRule>
  </conditionalFormatting>
  <conditionalFormatting sqref="S134">
    <cfRule type="expression" dxfId="195" priority="408">
      <formula>#REF!="Yes"</formula>
    </cfRule>
  </conditionalFormatting>
  <conditionalFormatting sqref="B134">
    <cfRule type="expression" dxfId="194" priority="407">
      <formula>AD134&lt;&gt;""</formula>
    </cfRule>
  </conditionalFormatting>
  <conditionalFormatting sqref="B143">
    <cfRule type="expression" dxfId="193" priority="389">
      <formula>AD143&lt;&gt;""</formula>
    </cfRule>
  </conditionalFormatting>
  <conditionalFormatting sqref="Z143">
    <cfRule type="cellIs" dxfId="192" priority="387" operator="greaterThan">
      <formula>0</formula>
    </cfRule>
    <cfRule type="cellIs" dxfId="191" priority="388" operator="lessThan">
      <formula>0</formula>
    </cfRule>
  </conditionalFormatting>
  <conditionalFormatting sqref="S143">
    <cfRule type="cellIs" dxfId="190" priority="386" operator="lessThan">
      <formula>0</formula>
    </cfRule>
  </conditionalFormatting>
  <conditionalFormatting sqref="T141:T142">
    <cfRule type="expression" dxfId="189" priority="390">
      <formula>#REF!="Yes"</formula>
    </cfRule>
  </conditionalFormatting>
  <conditionalFormatting sqref="P143">
    <cfRule type="cellIs" dxfId="188" priority="384" operator="equal">
      <formula>AS_DURATION_EFFORT</formula>
    </cfRule>
    <cfRule type="cellIs" dxfId="187" priority="385" operator="equal">
      <formula>AS_DEV_EFFORT</formula>
    </cfRule>
  </conditionalFormatting>
  <conditionalFormatting sqref="B141:B142">
    <cfRule type="expression" dxfId="186" priority="383">
      <formula>AD141&lt;&gt;""</formula>
    </cfRule>
  </conditionalFormatting>
  <conditionalFormatting sqref="L143:M143 O143:AC143">
    <cfRule type="expression" dxfId="185" priority="391">
      <formula>AND($G143="Yes", $S$6="Exclude")</formula>
    </cfRule>
    <cfRule type="expression" dxfId="184" priority="392">
      <formula>$J143="Yes"</formula>
    </cfRule>
  </conditionalFormatting>
  <conditionalFormatting sqref="F143">
    <cfRule type="expression" dxfId="183" priority="382">
      <formula>$K143&lt;&gt;""</formula>
    </cfRule>
  </conditionalFormatting>
  <conditionalFormatting sqref="C143">
    <cfRule type="expression" dxfId="182" priority="381">
      <formula>$G143&lt;&gt;"-"</formula>
    </cfRule>
  </conditionalFormatting>
  <conditionalFormatting sqref="D143">
    <cfRule type="expression" dxfId="181" priority="380">
      <formula>$H143&lt;&gt;"-"</formula>
    </cfRule>
  </conditionalFormatting>
  <conditionalFormatting sqref="E143">
    <cfRule type="expression" dxfId="180" priority="379">
      <formula>$I143&lt;&gt;"-"</formula>
    </cfRule>
  </conditionalFormatting>
  <conditionalFormatting sqref="N143">
    <cfRule type="expression" dxfId="179" priority="375">
      <formula>AND($G143="Yes", $S$6="Exclude")</formula>
    </cfRule>
    <cfRule type="expression" dxfId="178" priority="376">
      <formula>$J143="Yes"</formula>
    </cfRule>
  </conditionalFormatting>
  <conditionalFormatting sqref="B144">
    <cfRule type="expression" dxfId="177" priority="372">
      <formula>AD144&lt;&gt;""</formula>
    </cfRule>
  </conditionalFormatting>
  <conditionalFormatting sqref="Z144">
    <cfRule type="cellIs" dxfId="176" priority="370" operator="greaterThan">
      <formula>0</formula>
    </cfRule>
    <cfRule type="cellIs" dxfId="175" priority="371" operator="lessThan">
      <formula>0</formula>
    </cfRule>
  </conditionalFormatting>
  <conditionalFormatting sqref="S144">
    <cfRule type="cellIs" dxfId="174" priority="369" operator="lessThan">
      <formula>0</formula>
    </cfRule>
  </conditionalFormatting>
  <conditionalFormatting sqref="P144">
    <cfRule type="cellIs" dxfId="173" priority="367" operator="equal">
      <formula>AS_DURATION_EFFORT</formula>
    </cfRule>
    <cfRule type="cellIs" dxfId="172" priority="368" operator="equal">
      <formula>AS_DEV_EFFORT</formula>
    </cfRule>
  </conditionalFormatting>
  <conditionalFormatting sqref="L144:AC144">
    <cfRule type="expression" dxfId="171" priority="373">
      <formula>AND($G144="Yes", $S$6="Exclude")</formula>
    </cfRule>
    <cfRule type="expression" dxfId="170" priority="374">
      <formula>$J144="Yes"</formula>
    </cfRule>
  </conditionalFormatting>
  <conditionalFormatting sqref="F144">
    <cfRule type="expression" dxfId="169" priority="366">
      <formula>$K144&lt;&gt;""</formula>
    </cfRule>
  </conditionalFormatting>
  <conditionalFormatting sqref="C144">
    <cfRule type="expression" dxfId="168" priority="365">
      <formula>$G144&lt;&gt;"-"</formula>
    </cfRule>
  </conditionalFormatting>
  <conditionalFormatting sqref="D144">
    <cfRule type="expression" dxfId="167" priority="364">
      <formula>$H144&lt;&gt;"-"</formula>
    </cfRule>
  </conditionalFormatting>
  <conditionalFormatting sqref="E144">
    <cfRule type="expression" dxfId="166" priority="363">
      <formula>$I144&lt;&gt;"-"</formula>
    </cfRule>
  </conditionalFormatting>
  <conditionalFormatting sqref="S146">
    <cfRule type="expression" dxfId="165" priority="324">
      <formula>#REF!="Yes"</formula>
    </cfRule>
  </conditionalFormatting>
  <conditionalFormatting sqref="B146">
    <cfRule type="expression" dxfId="164" priority="323">
      <formula>AD146&lt;&gt;""</formula>
    </cfRule>
  </conditionalFormatting>
  <conditionalFormatting sqref="B139">
    <cfRule type="expression" dxfId="163" priority="319">
      <formula>AD139&lt;&gt;""</formula>
    </cfRule>
  </conditionalFormatting>
  <conditionalFormatting sqref="Z139">
    <cfRule type="cellIs" dxfId="162" priority="317" operator="greaterThan">
      <formula>0</formula>
    </cfRule>
    <cfRule type="cellIs" dxfId="161" priority="318" operator="lessThan">
      <formula>0</formula>
    </cfRule>
  </conditionalFormatting>
  <conditionalFormatting sqref="S139">
    <cfRule type="cellIs" dxfId="160" priority="316" operator="lessThan">
      <formula>0</formula>
    </cfRule>
  </conditionalFormatting>
  <conditionalFormatting sqref="T135:T136">
    <cfRule type="expression" dxfId="159" priority="320">
      <formula>#REF!="Yes"</formula>
    </cfRule>
  </conditionalFormatting>
  <conditionalFormatting sqref="P139">
    <cfRule type="cellIs" dxfId="158" priority="314" operator="equal">
      <formula>AS_DURATION_EFFORT</formula>
    </cfRule>
    <cfRule type="cellIs" dxfId="157" priority="315" operator="equal">
      <formula>AS_DEV_EFFORT</formula>
    </cfRule>
  </conditionalFormatting>
  <conditionalFormatting sqref="B135:B136">
    <cfRule type="expression" dxfId="156" priority="313">
      <formula>AD135&lt;&gt;""</formula>
    </cfRule>
  </conditionalFormatting>
  <conditionalFormatting sqref="L139:AC139">
    <cfRule type="expression" dxfId="155" priority="321">
      <formula>AND($G139="Yes", $S$6="Exclude")</formula>
    </cfRule>
    <cfRule type="expression" dxfId="154" priority="322">
      <formula>$J139="Yes"</formula>
    </cfRule>
  </conditionalFormatting>
  <conditionalFormatting sqref="F139">
    <cfRule type="expression" dxfId="153" priority="312">
      <formula>$K139&lt;&gt;""</formula>
    </cfRule>
  </conditionalFormatting>
  <conditionalFormatting sqref="C139">
    <cfRule type="expression" dxfId="152" priority="311">
      <formula>$G139&lt;&gt;"-"</formula>
    </cfRule>
  </conditionalFormatting>
  <conditionalFormatting sqref="D139">
    <cfRule type="expression" dxfId="151" priority="310">
      <formula>$H139&lt;&gt;"-"</formula>
    </cfRule>
  </conditionalFormatting>
  <conditionalFormatting sqref="E139">
    <cfRule type="expression" dxfId="150" priority="309">
      <formula>$I139&lt;&gt;"-"</formula>
    </cfRule>
  </conditionalFormatting>
  <conditionalFormatting sqref="B137">
    <cfRule type="expression" dxfId="149" priority="306">
      <formula>AD137&lt;&gt;""</formula>
    </cfRule>
  </conditionalFormatting>
  <conditionalFormatting sqref="Z137">
    <cfRule type="cellIs" dxfId="148" priority="304" operator="greaterThan">
      <formula>0</formula>
    </cfRule>
    <cfRule type="cellIs" dxfId="147" priority="305" operator="lessThan">
      <formula>0</formula>
    </cfRule>
  </conditionalFormatting>
  <conditionalFormatting sqref="S137">
    <cfRule type="cellIs" dxfId="146" priority="303" operator="lessThan">
      <formula>0</formula>
    </cfRule>
  </conditionalFormatting>
  <conditionalFormatting sqref="P137">
    <cfRule type="cellIs" dxfId="145" priority="301" operator="equal">
      <formula>AS_DURATION_EFFORT</formula>
    </cfRule>
    <cfRule type="cellIs" dxfId="144" priority="302" operator="equal">
      <formula>AS_DEV_EFFORT</formula>
    </cfRule>
  </conditionalFormatting>
  <conditionalFormatting sqref="L137:AC137">
    <cfRule type="expression" dxfId="143" priority="307">
      <formula>AND($G137="Yes", $S$6="Exclude")</formula>
    </cfRule>
    <cfRule type="expression" dxfId="142" priority="308">
      <formula>$J137="Yes"</formula>
    </cfRule>
  </conditionalFormatting>
  <conditionalFormatting sqref="F137">
    <cfRule type="expression" dxfId="141" priority="300">
      <formula>$K137&lt;&gt;""</formula>
    </cfRule>
  </conditionalFormatting>
  <conditionalFormatting sqref="C137">
    <cfRule type="expression" dxfId="140" priority="299">
      <formula>$G137&lt;&gt;"-"</formula>
    </cfRule>
  </conditionalFormatting>
  <conditionalFormatting sqref="D137">
    <cfRule type="expression" dxfId="139" priority="298">
      <formula>$H137&lt;&gt;"-"</formula>
    </cfRule>
  </conditionalFormatting>
  <conditionalFormatting sqref="E137">
    <cfRule type="expression" dxfId="138" priority="297">
      <formula>$I137&lt;&gt;"-"</formula>
    </cfRule>
  </conditionalFormatting>
  <conditionalFormatting sqref="B138">
    <cfRule type="expression" dxfId="137" priority="294">
      <formula>AD138&lt;&gt;""</formula>
    </cfRule>
  </conditionalFormatting>
  <conditionalFormatting sqref="Z138">
    <cfRule type="cellIs" dxfId="136" priority="292" operator="greaterThan">
      <formula>0</formula>
    </cfRule>
    <cfRule type="cellIs" dxfId="135" priority="293" operator="lessThan">
      <formula>0</formula>
    </cfRule>
  </conditionalFormatting>
  <conditionalFormatting sqref="S138">
    <cfRule type="cellIs" dxfId="134" priority="291" operator="lessThan">
      <formula>0</formula>
    </cfRule>
  </conditionalFormatting>
  <conditionalFormatting sqref="P138">
    <cfRule type="cellIs" dxfId="133" priority="289" operator="equal">
      <formula>AS_DURATION_EFFORT</formula>
    </cfRule>
    <cfRule type="cellIs" dxfId="132" priority="290" operator="equal">
      <formula>AS_DEV_EFFORT</formula>
    </cfRule>
  </conditionalFormatting>
  <conditionalFormatting sqref="L138:AC138">
    <cfRule type="expression" dxfId="131" priority="295">
      <formula>AND($G138="Yes", $S$6="Exclude")</formula>
    </cfRule>
    <cfRule type="expression" dxfId="130" priority="296">
      <formula>$J138="Yes"</formula>
    </cfRule>
  </conditionalFormatting>
  <conditionalFormatting sqref="F138">
    <cfRule type="expression" dxfId="129" priority="288">
      <formula>$K138&lt;&gt;""</formula>
    </cfRule>
  </conditionalFormatting>
  <conditionalFormatting sqref="C138">
    <cfRule type="expression" dxfId="128" priority="287">
      <formula>$G138&lt;&gt;"-"</formula>
    </cfRule>
  </conditionalFormatting>
  <conditionalFormatting sqref="D138">
    <cfRule type="expression" dxfId="127" priority="286">
      <formula>$H138&lt;&gt;"-"</formula>
    </cfRule>
  </conditionalFormatting>
  <conditionalFormatting sqref="E138">
    <cfRule type="expression" dxfId="126" priority="285">
      <formula>$I138&lt;&gt;"-"</formula>
    </cfRule>
  </conditionalFormatting>
  <conditionalFormatting sqref="B149">
    <cfRule type="expression" dxfId="125" priority="281">
      <formula>AD149&lt;&gt;""</formula>
    </cfRule>
  </conditionalFormatting>
  <conditionalFormatting sqref="Z149">
    <cfRule type="cellIs" dxfId="124" priority="279" operator="greaterThan">
      <formula>0</formula>
    </cfRule>
    <cfRule type="cellIs" dxfId="123" priority="280" operator="lessThan">
      <formula>0</formula>
    </cfRule>
  </conditionalFormatting>
  <conditionalFormatting sqref="S149">
    <cfRule type="cellIs" dxfId="122" priority="278" operator="lessThan">
      <formula>0</formula>
    </cfRule>
  </conditionalFormatting>
  <conditionalFormatting sqref="T147:T148">
    <cfRule type="expression" dxfId="121" priority="282">
      <formula>#REF!="Yes"</formula>
    </cfRule>
  </conditionalFormatting>
  <conditionalFormatting sqref="P149">
    <cfRule type="cellIs" dxfId="120" priority="276" operator="equal">
      <formula>AS_DURATION_EFFORT</formula>
    </cfRule>
    <cfRule type="cellIs" dxfId="119" priority="277" operator="equal">
      <formula>AS_DEV_EFFORT</formula>
    </cfRule>
  </conditionalFormatting>
  <conditionalFormatting sqref="B147:B148">
    <cfRule type="expression" dxfId="118" priority="275">
      <formula>AD147&lt;&gt;""</formula>
    </cfRule>
  </conditionalFormatting>
  <conditionalFormatting sqref="L149:AC149">
    <cfRule type="expression" dxfId="117" priority="283">
      <formula>AND($G149="Yes", $S$6="Exclude")</formula>
    </cfRule>
    <cfRule type="expression" dxfId="116" priority="284">
      <formula>$J149="Yes"</formula>
    </cfRule>
  </conditionalFormatting>
  <conditionalFormatting sqref="F149">
    <cfRule type="expression" dxfId="115" priority="274">
      <formula>$K149&lt;&gt;""</formula>
    </cfRule>
  </conditionalFormatting>
  <conditionalFormatting sqref="C149">
    <cfRule type="expression" dxfId="114" priority="273">
      <formula>$G149&lt;&gt;"-"</formula>
    </cfRule>
  </conditionalFormatting>
  <conditionalFormatting sqref="D149">
    <cfRule type="expression" dxfId="113" priority="272">
      <formula>$H149&lt;&gt;"-"</formula>
    </cfRule>
  </conditionalFormatting>
  <conditionalFormatting sqref="E149">
    <cfRule type="expression" dxfId="112" priority="271">
      <formula>$I149&lt;&gt;"-"</formula>
    </cfRule>
  </conditionalFormatting>
  <conditionalFormatting sqref="B153">
    <cfRule type="expression" dxfId="111" priority="267">
      <formula>AD153&lt;&gt;""</formula>
    </cfRule>
  </conditionalFormatting>
  <conditionalFormatting sqref="Z153">
    <cfRule type="cellIs" dxfId="110" priority="265" operator="greaterThan">
      <formula>0</formula>
    </cfRule>
    <cfRule type="cellIs" dxfId="109" priority="266" operator="lessThan">
      <formula>0</formula>
    </cfRule>
  </conditionalFormatting>
  <conditionalFormatting sqref="S153">
    <cfRule type="cellIs" dxfId="108" priority="264" operator="lessThan">
      <formula>0</formula>
    </cfRule>
  </conditionalFormatting>
  <conditionalFormatting sqref="T151:T152">
    <cfRule type="expression" dxfId="107" priority="268">
      <formula>#REF!="Yes"</formula>
    </cfRule>
  </conditionalFormatting>
  <conditionalFormatting sqref="P153">
    <cfRule type="cellIs" dxfId="106" priority="262" operator="equal">
      <formula>AS_DURATION_EFFORT</formula>
    </cfRule>
    <cfRule type="cellIs" dxfId="105" priority="263" operator="equal">
      <formula>AS_DEV_EFFORT</formula>
    </cfRule>
  </conditionalFormatting>
  <conditionalFormatting sqref="B151:B152">
    <cfRule type="expression" dxfId="104" priority="261">
      <formula>AD151&lt;&gt;""</formula>
    </cfRule>
  </conditionalFormatting>
  <conditionalFormatting sqref="L153:AC153">
    <cfRule type="expression" dxfId="103" priority="269">
      <formula>AND($G153="Yes", $S$6="Exclude")</formula>
    </cfRule>
    <cfRule type="expression" dxfId="102" priority="270">
      <formula>$J153="Yes"</formula>
    </cfRule>
  </conditionalFormatting>
  <conditionalFormatting sqref="F153">
    <cfRule type="expression" dxfId="101" priority="260">
      <formula>$K153&lt;&gt;""</formula>
    </cfRule>
  </conditionalFormatting>
  <conditionalFormatting sqref="C153">
    <cfRule type="expression" dxfId="100" priority="259">
      <formula>$G153&lt;&gt;"-"</formula>
    </cfRule>
  </conditionalFormatting>
  <conditionalFormatting sqref="D153">
    <cfRule type="expression" dxfId="99" priority="258">
      <formula>$H153&lt;&gt;"-"</formula>
    </cfRule>
  </conditionalFormatting>
  <conditionalFormatting sqref="E153">
    <cfRule type="expression" dxfId="98" priority="257">
      <formula>$I153&lt;&gt;"-"</formula>
    </cfRule>
  </conditionalFormatting>
  <conditionalFormatting sqref="B161">
    <cfRule type="expression" dxfId="97" priority="223">
      <formula>AD161&lt;&gt;""</formula>
    </cfRule>
  </conditionalFormatting>
  <conditionalFormatting sqref="Z161">
    <cfRule type="cellIs" dxfId="96" priority="221" operator="greaterThan">
      <formula>0</formula>
    </cfRule>
    <cfRule type="cellIs" dxfId="95" priority="222" operator="lessThan">
      <formula>0</formula>
    </cfRule>
  </conditionalFormatting>
  <conditionalFormatting sqref="S161">
    <cfRule type="cellIs" dxfId="94" priority="220" operator="lessThan">
      <formula>0</formula>
    </cfRule>
  </conditionalFormatting>
  <conditionalFormatting sqref="T159:T160">
    <cfRule type="expression" dxfId="93" priority="224">
      <formula>#REF!="Yes"</formula>
    </cfRule>
  </conditionalFormatting>
  <conditionalFormatting sqref="P161">
    <cfRule type="cellIs" dxfId="92" priority="218" operator="equal">
      <formula>AS_DURATION_EFFORT</formula>
    </cfRule>
    <cfRule type="cellIs" dxfId="91" priority="219" operator="equal">
      <formula>AS_DEV_EFFORT</formula>
    </cfRule>
  </conditionalFormatting>
  <conditionalFormatting sqref="B159:B160">
    <cfRule type="expression" dxfId="90" priority="217">
      <formula>AD159&lt;&gt;""</formula>
    </cfRule>
  </conditionalFormatting>
  <conditionalFormatting sqref="L161:AC161">
    <cfRule type="expression" dxfId="89" priority="225">
      <formula>AND($G161="Yes", $S$6="Exclude")</formula>
    </cfRule>
    <cfRule type="expression" dxfId="88" priority="226">
      <formula>$J161="Yes"</formula>
    </cfRule>
  </conditionalFormatting>
  <conditionalFormatting sqref="F161">
    <cfRule type="expression" dxfId="87" priority="216">
      <formula>$K161&lt;&gt;""</formula>
    </cfRule>
  </conditionalFormatting>
  <conditionalFormatting sqref="C161">
    <cfRule type="expression" dxfId="86" priority="215">
      <formula>$G161&lt;&gt;"-"</formula>
    </cfRule>
  </conditionalFormatting>
  <conditionalFormatting sqref="D161">
    <cfRule type="expression" dxfId="85" priority="214">
      <formula>$H161&lt;&gt;"-"</formula>
    </cfRule>
  </conditionalFormatting>
  <conditionalFormatting sqref="E161">
    <cfRule type="expression" dxfId="84" priority="213">
      <formula>$I161&lt;&gt;"-"</formula>
    </cfRule>
  </conditionalFormatting>
  <conditionalFormatting sqref="S177">
    <cfRule type="expression" dxfId="83" priority="184">
      <formula>#REF!="Yes"</formula>
    </cfRule>
  </conditionalFormatting>
  <conditionalFormatting sqref="B177">
    <cfRule type="expression" dxfId="82" priority="183">
      <formula>AD177&lt;&gt;""</formula>
    </cfRule>
  </conditionalFormatting>
  <conditionalFormatting sqref="S168">
    <cfRule type="expression" dxfId="81" priority="152">
      <formula>#REF!="Yes"</formula>
    </cfRule>
  </conditionalFormatting>
  <conditionalFormatting sqref="B168">
    <cfRule type="expression" dxfId="80" priority="151">
      <formula>AD168&lt;&gt;""</formula>
    </cfRule>
  </conditionalFormatting>
  <conditionalFormatting sqref="B166">
    <cfRule type="expression" dxfId="79" priority="147">
      <formula>AD166&lt;&gt;""</formula>
    </cfRule>
  </conditionalFormatting>
  <conditionalFormatting sqref="Z166">
    <cfRule type="cellIs" dxfId="78" priority="145" operator="greaterThan">
      <formula>0</formula>
    </cfRule>
    <cfRule type="cellIs" dxfId="77" priority="146" operator="lessThan">
      <formula>0</formula>
    </cfRule>
  </conditionalFormatting>
  <conditionalFormatting sqref="S166">
    <cfRule type="cellIs" dxfId="76" priority="144" operator="lessThan">
      <formula>0</formula>
    </cfRule>
  </conditionalFormatting>
  <conditionalFormatting sqref="T164:T165">
    <cfRule type="expression" dxfId="75" priority="148">
      <formula>#REF!="Yes"</formula>
    </cfRule>
  </conditionalFormatting>
  <conditionalFormatting sqref="P166">
    <cfRule type="cellIs" dxfId="74" priority="142" operator="equal">
      <formula>AS_DURATION_EFFORT</formula>
    </cfRule>
    <cfRule type="cellIs" dxfId="73" priority="143" operator="equal">
      <formula>AS_DEV_EFFORT</formula>
    </cfRule>
  </conditionalFormatting>
  <conditionalFormatting sqref="B164:B165">
    <cfRule type="expression" dxfId="72" priority="141">
      <formula>AD164&lt;&gt;""</formula>
    </cfRule>
  </conditionalFormatting>
  <conditionalFormatting sqref="F166">
    <cfRule type="expression" dxfId="71" priority="140">
      <formula>$K166&lt;&gt;""</formula>
    </cfRule>
  </conditionalFormatting>
  <conditionalFormatting sqref="C166">
    <cfRule type="expression" dxfId="70" priority="139">
      <formula>$G166&lt;&gt;"-"</formula>
    </cfRule>
  </conditionalFormatting>
  <conditionalFormatting sqref="D166">
    <cfRule type="expression" dxfId="69" priority="138">
      <formula>$H166&lt;&gt;"-"</formula>
    </cfRule>
  </conditionalFormatting>
  <conditionalFormatting sqref="E166">
    <cfRule type="expression" dxfId="68" priority="137">
      <formula>$I166&lt;&gt;"-"</formula>
    </cfRule>
  </conditionalFormatting>
  <conditionalFormatting sqref="S163">
    <cfRule type="expression" dxfId="67" priority="136">
      <formula>#REF!="Yes"</formula>
    </cfRule>
  </conditionalFormatting>
  <conditionalFormatting sqref="B163">
    <cfRule type="expression" dxfId="66" priority="135">
      <formula>AD163&lt;&gt;""</formula>
    </cfRule>
  </conditionalFormatting>
  <conditionalFormatting sqref="L157:AC157">
    <cfRule type="expression" dxfId="65" priority="119">
      <formula>AND($G157="Yes", $S$6="Exclude")</formula>
    </cfRule>
    <cfRule type="expression" dxfId="64" priority="120">
      <formula>$J157="Yes"</formula>
    </cfRule>
  </conditionalFormatting>
  <conditionalFormatting sqref="B157">
    <cfRule type="expression" dxfId="63" priority="117">
      <formula>AD157&lt;&gt;""</formula>
    </cfRule>
  </conditionalFormatting>
  <conditionalFormatting sqref="Z157">
    <cfRule type="cellIs" dxfId="62" priority="115" operator="greaterThan">
      <formula>0</formula>
    </cfRule>
    <cfRule type="cellIs" dxfId="61" priority="116" operator="lessThan">
      <formula>0</formula>
    </cfRule>
  </conditionalFormatting>
  <conditionalFormatting sqref="S157">
    <cfRule type="cellIs" dxfId="60" priority="114" operator="lessThan">
      <formula>0</formula>
    </cfRule>
  </conditionalFormatting>
  <conditionalFormatting sqref="T155:T156">
    <cfRule type="expression" dxfId="59" priority="118">
      <formula>#REF!="Yes"</formula>
    </cfRule>
  </conditionalFormatting>
  <conditionalFormatting sqref="P157">
    <cfRule type="cellIs" dxfId="58" priority="112" operator="equal">
      <formula>AS_DURATION_EFFORT</formula>
    </cfRule>
    <cfRule type="cellIs" dxfId="57" priority="113" operator="equal">
      <formula>AS_DEV_EFFORT</formula>
    </cfRule>
  </conditionalFormatting>
  <conditionalFormatting sqref="B155:B156">
    <cfRule type="expression" dxfId="56" priority="111">
      <formula>AD155&lt;&gt;""</formula>
    </cfRule>
  </conditionalFormatting>
  <conditionalFormatting sqref="F157">
    <cfRule type="expression" dxfId="55" priority="110">
      <formula>$K157&lt;&gt;""</formula>
    </cfRule>
  </conditionalFormatting>
  <conditionalFormatting sqref="C157">
    <cfRule type="expression" dxfId="54" priority="109">
      <formula>$G157&lt;&gt;"-"</formula>
    </cfRule>
  </conditionalFormatting>
  <conditionalFormatting sqref="D157">
    <cfRule type="expression" dxfId="53" priority="108">
      <formula>$H157&lt;&gt;"-"</formula>
    </cfRule>
  </conditionalFormatting>
  <conditionalFormatting sqref="E157">
    <cfRule type="expression" dxfId="52" priority="107">
      <formula>$I157&lt;&gt;"-"</formula>
    </cfRule>
  </conditionalFormatting>
  <conditionalFormatting sqref="B171">
    <cfRule type="expression" dxfId="51" priority="89">
      <formula>AD171&lt;&gt;""</formula>
    </cfRule>
  </conditionalFormatting>
  <conditionalFormatting sqref="Z171">
    <cfRule type="cellIs" dxfId="50" priority="87" operator="greaterThan">
      <formula>0</formula>
    </cfRule>
    <cfRule type="cellIs" dxfId="49" priority="88" operator="lessThan">
      <formula>0</formula>
    </cfRule>
  </conditionalFormatting>
  <conditionalFormatting sqref="S171">
    <cfRule type="cellIs" dxfId="48" priority="86" operator="lessThan">
      <formula>0</formula>
    </cfRule>
  </conditionalFormatting>
  <conditionalFormatting sqref="T169:T170">
    <cfRule type="expression" dxfId="47" priority="90">
      <formula>#REF!="Yes"</formula>
    </cfRule>
  </conditionalFormatting>
  <conditionalFormatting sqref="P171">
    <cfRule type="cellIs" dxfId="46" priority="84" operator="equal">
      <formula>AS_DURATION_EFFORT</formula>
    </cfRule>
    <cfRule type="cellIs" dxfId="45" priority="85" operator="equal">
      <formula>AS_DEV_EFFORT</formula>
    </cfRule>
  </conditionalFormatting>
  <conditionalFormatting sqref="B169:B170">
    <cfRule type="expression" dxfId="44" priority="83">
      <formula>AD169&lt;&gt;""</formula>
    </cfRule>
  </conditionalFormatting>
  <conditionalFormatting sqref="F171">
    <cfRule type="expression" dxfId="43" priority="82">
      <formula>$K171&lt;&gt;""</formula>
    </cfRule>
  </conditionalFormatting>
  <conditionalFormatting sqref="C171">
    <cfRule type="expression" dxfId="42" priority="81">
      <formula>$G171&lt;&gt;"-"</formula>
    </cfRule>
  </conditionalFormatting>
  <conditionalFormatting sqref="D171">
    <cfRule type="expression" dxfId="41" priority="80">
      <formula>$H171&lt;&gt;"-"</formula>
    </cfRule>
  </conditionalFormatting>
  <conditionalFormatting sqref="E171">
    <cfRule type="expression" dxfId="40" priority="79">
      <formula>$I171&lt;&gt;"-"</formula>
    </cfRule>
  </conditionalFormatting>
  <conditionalFormatting sqref="B175">
    <cfRule type="expression" dxfId="39" priority="63">
      <formula>AD175&lt;&gt;""</formula>
    </cfRule>
  </conditionalFormatting>
  <conditionalFormatting sqref="Z175">
    <cfRule type="cellIs" dxfId="38" priority="61" operator="greaterThan">
      <formula>0</formula>
    </cfRule>
    <cfRule type="cellIs" dxfId="37" priority="62" operator="lessThan">
      <formula>0</formula>
    </cfRule>
  </conditionalFormatting>
  <conditionalFormatting sqref="S175">
    <cfRule type="cellIs" dxfId="36" priority="60" operator="lessThan">
      <formula>0</formula>
    </cfRule>
  </conditionalFormatting>
  <conditionalFormatting sqref="T173:T174">
    <cfRule type="expression" dxfId="35" priority="64">
      <formula>#REF!="Yes"</formula>
    </cfRule>
  </conditionalFormatting>
  <conditionalFormatting sqref="P175">
    <cfRule type="cellIs" dxfId="34" priority="58" operator="equal">
      <formula>AS_DURATION_EFFORT</formula>
    </cfRule>
    <cfRule type="cellIs" dxfId="33" priority="59" operator="equal">
      <formula>AS_DEV_EFFORT</formula>
    </cfRule>
  </conditionalFormatting>
  <conditionalFormatting sqref="B173:B174">
    <cfRule type="expression" dxfId="32" priority="57">
      <formula>AD173&lt;&gt;""</formula>
    </cfRule>
  </conditionalFormatting>
  <conditionalFormatting sqref="L175:AC175">
    <cfRule type="expression" dxfId="31" priority="65">
      <formula>AND($G175="Yes", $S$6="Exclude")</formula>
    </cfRule>
    <cfRule type="expression" dxfId="30" priority="66">
      <formula>$J175="Yes"</formula>
    </cfRule>
  </conditionalFormatting>
  <conditionalFormatting sqref="F175">
    <cfRule type="expression" dxfId="29" priority="56">
      <formula>$K175&lt;&gt;""</formula>
    </cfRule>
  </conditionalFormatting>
  <conditionalFormatting sqref="C175">
    <cfRule type="expression" dxfId="28" priority="55">
      <formula>$G175&lt;&gt;"-"</formula>
    </cfRule>
  </conditionalFormatting>
  <conditionalFormatting sqref="D175">
    <cfRule type="expression" dxfId="27" priority="54">
      <formula>$H175&lt;&gt;"-"</formula>
    </cfRule>
  </conditionalFormatting>
  <conditionalFormatting sqref="E175">
    <cfRule type="expression" dxfId="26" priority="53">
      <formula>$I175&lt;&gt;"-"</formula>
    </cfRule>
  </conditionalFormatting>
  <conditionalFormatting sqref="B180">
    <cfRule type="expression" dxfId="25" priority="35">
      <formula>AD180&lt;&gt;""</formula>
    </cfRule>
  </conditionalFormatting>
  <conditionalFormatting sqref="Z180">
    <cfRule type="cellIs" dxfId="24" priority="33" operator="greaterThan">
      <formula>0</formula>
    </cfRule>
    <cfRule type="cellIs" dxfId="23" priority="34" operator="lessThan">
      <formula>0</formula>
    </cfRule>
  </conditionalFormatting>
  <conditionalFormatting sqref="S180">
    <cfRule type="cellIs" dxfId="22" priority="32" operator="lessThan">
      <formula>0</formula>
    </cfRule>
  </conditionalFormatting>
  <conditionalFormatting sqref="T178:T179">
    <cfRule type="expression" dxfId="21" priority="36">
      <formula>#REF!="Yes"</formula>
    </cfRule>
  </conditionalFormatting>
  <conditionalFormatting sqref="P180">
    <cfRule type="cellIs" dxfId="20" priority="30" operator="equal">
      <formula>AS_DURATION_EFFORT</formula>
    </cfRule>
    <cfRule type="cellIs" dxfId="19" priority="31" operator="equal">
      <formula>AS_DEV_EFFORT</formula>
    </cfRule>
  </conditionalFormatting>
  <conditionalFormatting sqref="B178:B179">
    <cfRule type="expression" dxfId="18" priority="29">
      <formula>AD178&lt;&gt;""</formula>
    </cfRule>
  </conditionalFormatting>
  <conditionalFormatting sqref="L180:AC180">
    <cfRule type="expression" dxfId="17" priority="37">
      <formula>AND($G180="Yes", $S$6="Exclude")</formula>
    </cfRule>
    <cfRule type="expression" dxfId="16" priority="38">
      <formula>$J180="Yes"</formula>
    </cfRule>
  </conditionalFormatting>
  <conditionalFormatting sqref="F180">
    <cfRule type="expression" dxfId="15" priority="28">
      <formula>$K180&lt;&gt;""</formula>
    </cfRule>
  </conditionalFormatting>
  <conditionalFormatting sqref="C180">
    <cfRule type="expression" dxfId="14" priority="27">
      <formula>$G180&lt;&gt;"-"</formula>
    </cfRule>
  </conditionalFormatting>
  <conditionalFormatting sqref="D180">
    <cfRule type="expression" dxfId="13" priority="26">
      <formula>$H180&lt;&gt;"-"</formula>
    </cfRule>
  </conditionalFormatting>
  <conditionalFormatting sqref="E180">
    <cfRule type="expression" dxfId="12" priority="25">
      <formula>$I180&lt;&gt;"-"</formula>
    </cfRule>
  </conditionalFormatting>
  <conditionalFormatting sqref="B186">
    <cfRule type="expression" dxfId="11" priority="10">
      <formula>AD186&lt;&gt;""</formula>
    </cfRule>
  </conditionalFormatting>
  <conditionalFormatting sqref="Z186">
    <cfRule type="cellIs" dxfId="10" priority="8" operator="greaterThan">
      <formula>0</formula>
    </cfRule>
    <cfRule type="cellIs" dxfId="9" priority="9" operator="lessThan">
      <formula>0</formula>
    </cfRule>
  </conditionalFormatting>
  <conditionalFormatting sqref="S186">
    <cfRule type="cellIs" dxfId="8" priority="7" operator="lessThan">
      <formula>0</formula>
    </cfRule>
  </conditionalFormatting>
  <conditionalFormatting sqref="P186">
    <cfRule type="cellIs" dxfId="7" priority="5" operator="equal">
      <formula>AS_DURATION_EFFORT</formula>
    </cfRule>
    <cfRule type="cellIs" dxfId="6" priority="6" operator="equal">
      <formula>AS_DEV_EFFORT</formula>
    </cfRule>
  </conditionalFormatting>
  <conditionalFormatting sqref="L186:AC186">
    <cfRule type="expression" dxfId="5" priority="11">
      <formula>AND($G186="Yes", $S$6="Exclude")</formula>
    </cfRule>
    <cfRule type="expression" dxfId="4" priority="12">
      <formula>$J186="Yes"</formula>
    </cfRule>
  </conditionalFormatting>
  <conditionalFormatting sqref="F186">
    <cfRule type="expression" dxfId="3" priority="4">
      <formula>$K186&lt;&gt;""</formula>
    </cfRule>
  </conditionalFormatting>
  <conditionalFormatting sqref="C186">
    <cfRule type="expression" dxfId="2" priority="3">
      <formula>$G186&lt;&gt;"-"</formula>
    </cfRule>
  </conditionalFormatting>
  <conditionalFormatting sqref="D186">
    <cfRule type="expression" dxfId="1" priority="2">
      <formula>$H186&lt;&gt;"-"</formula>
    </cfRule>
  </conditionalFormatting>
  <conditionalFormatting sqref="E186">
    <cfRule type="expression" dxfId="0" priority="1">
      <formula>$I186&lt;&gt;"-"</formula>
    </cfRule>
  </conditionalFormatting>
  <dataValidations count="11">
    <dataValidation type="list" allowBlank="1" showInputMessage="1" showErrorMessage="1" sqref="S5" xr:uid="{00000000-0002-0000-0100-000000000000}">
      <formula1>SALES_CALL_SCALE_LIST</formula1>
    </dataValidation>
    <dataValidation type="list" allowBlank="1" showInputMessage="1" showErrorMessage="1" sqref="S6" xr:uid="{00000000-0002-0000-0100-000001000000}">
      <formula1>INCLUDE_OPTIONALS_LIST</formula1>
    </dataValidation>
    <dataValidation type="list" allowBlank="1" showInputMessage="1" showErrorMessage="1" sqref="O310" xr:uid="{00000000-0002-0000-0100-000002000000}">
      <formula1>YES_NO_LIST</formula1>
    </dataValidation>
    <dataValidation type="list" allowBlank="1" showInputMessage="1" showErrorMessage="1" sqref="O307" xr:uid="{00000000-0002-0000-0100-000003000000}">
      <formula1>PLATFORMS_LIST</formula1>
    </dataValidation>
    <dataValidation type="list" allowBlank="1" showInputMessage="1" showErrorMessage="1" sqref="O308" xr:uid="{00000000-0002-0000-0100-000004000000}">
      <formula1>PROJECT_TYPES_LIST</formula1>
    </dataValidation>
    <dataValidation type="list" allowBlank="1" showInputMessage="1" showErrorMessage="1" sqref="O312" xr:uid="{00000000-0002-0000-0100-000005000000}">
      <formula1>CURRENCIES_LIST</formula1>
    </dataValidation>
    <dataValidation type="list" allowBlank="1" showInputMessage="1" showErrorMessage="1" sqref="O311" xr:uid="{00000000-0002-0000-0100-000006000000}">
      <formula1>REGIONS_LIST</formula1>
    </dataValidation>
    <dataValidation type="list" showInputMessage="1" showErrorMessage="1" sqref="G428 J428 G16:G18 J69:J70 G185:G186 J107:J110 G100:G103 J252 G74:G76 J80:J83 G69:G70 G80:G83 J100:J103 G107:G110 G180 J207:J208 G207:G208 J212:J215 G212:G215 G194:G195 J229:J230 G229:G230 G234 J234 J238 G238 J242:J245 G242:G245 G252 J16:J18 J22:J24 G28:G31 J35:J39 J43:J45 G49:G54 G22:G24 J28:J31 G35:G39 G43:G45 J49:J54 G58:G62 J58:J62 G200:G203 J200:J203 J194:J195 J74:J76 G87:G93 J87:J93 J115:J116 G115:G116 G120 J120 G124 J124 G132 J132 G128 J128 J143:J144 G143:G144 J137:J139 G137:G139 G149 J149 G153 J153 G161 J161 G166 J166 G157 J157 J171 G171 G175 J175 J180 J185:J186 G219:G222 J219:J222" xr:uid="{00000000-0002-0000-0100-000007000000}">
      <formula1>YES_NO_LIST</formula1>
    </dataValidation>
    <dataValidation type="list" showInputMessage="1" showErrorMessage="1" sqref="I428 I107:I110 I100:I103 I252 I69:I70 I80:I83 I180 I207:I208 I212:I215 I194:I195 I229:I230 I234 I238 I242:I245 I16:I18 I22:I24 I28:I31 I35:I39 I43:I45 I49:I54 I58:I62 I200:I203 I74:I76 I87:I93 I115:I116 I120 I124 I132 I128 I143:I144 I137:I139 I149 I153 I161 I166 I157 I171 I175 I185:I186 I219:I222" xr:uid="{00000000-0002-0000-0100-000008000000}">
      <formula1>EXTRAS_LIST</formula1>
    </dataValidation>
    <dataValidation type="list" showInputMessage="1" showErrorMessage="1" sqref="H428 H107:H110 H100:H103 H252 H69:H70 H80:H83 H180 H207:H208 H212:H215 H194:H195 H229:H230 H234 H238 H242:H245 H16:H18 H22:H24 H28:H31 H35:H39 H43:H45 H49:H54 H58:H62 H200:H203 H74:H76 H87:H93 H115:H116 H120 H124 H132 H128 H143:H144 H137:H139 H149 H153 H161 H166 H157 H171 H175 H185:H186 H219:H222" xr:uid="{00000000-0002-0000-0100-000009000000}">
      <formula1>BUFFER_TYPES_LIST</formula1>
    </dataValidation>
    <dataValidation type="list" showInputMessage="1" showErrorMessage="1" sqref="S262" xr:uid="{00000000-0002-0000-0100-00000A000000}">
      <formula1>"Default, Extended"</formula1>
    </dataValidation>
  </dataValidations>
  <hyperlinks>
    <hyperlink ref="T298" location="Schedule!A1" display="click here." xr:uid="{00000000-0004-0000-0100-000000000000}"/>
    <hyperlink ref="AB9" location="Help!A1" tooltip="Know what, how and why around most frequently asked questions." display="Read Help for more details." xr:uid="{00000000-0004-0000-0100-000001000000}"/>
    <hyperlink ref="T9" location="Estimation!U9" tooltip="Copy full WBS content as image" display="Full" xr:uid="{00000000-0004-0000-0100-000002000000}"/>
    <hyperlink ref="S9" location="Estimation!V9" tooltip="Copy compact view of WBS as image" display="Compact" xr:uid="{00000000-0004-0000-0100-000003000000}"/>
    <hyperlink ref="C12:E12" location="Estimation!C12" tooltip="Collapse All" display="−" xr:uid="{00000000-0004-0000-0100-000004000000}"/>
    <hyperlink ref="F12" location="Estimation!F12" tooltip="Expand All" display="Estimation!F12" xr:uid="{00000000-0004-0000-0100-000005000000}"/>
    <hyperlink ref="C10:F10" location="Estimation!C10" tooltip="Open" display="→" xr:uid="{00000000-0004-0000-0100-000006000000}"/>
    <hyperlink ref="C11:F11" location="Estimation!C11" tooltip="Close" display="←" xr:uid="{00000000-0004-0000-0100-000007000000}"/>
    <hyperlink ref="T262" location="Estimation!T71" tooltip="Refresh FBS" display="here" xr:uid="{00000000-0004-0000-0100-000008000000}"/>
  </hyperlinks>
  <pageMargins left="0.7" right="0.7" top="0.75" bottom="0.75" header="0.3" footer="0.3"/>
  <pageSetup scale="58" orientation="landscape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3.AddRowsBefore">
                <anchor moveWithCells="1">
                  <from>
                    <xdr:col>11</xdr:col>
                    <xdr:colOff>22860</xdr:colOff>
                    <xdr:row>8</xdr:row>
                    <xdr:rowOff>15240</xdr:rowOff>
                  </from>
                  <to>
                    <xdr:col>13</xdr:col>
                    <xdr:colOff>76200</xdr:colOff>
                    <xdr:row>9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3.AddRows">
                <anchor moveWithCells="1">
                  <from>
                    <xdr:col>13</xdr:col>
                    <xdr:colOff>129540</xdr:colOff>
                    <xdr:row>8</xdr:row>
                    <xdr:rowOff>15240</xdr:rowOff>
                  </from>
                  <to>
                    <xdr:col>13</xdr:col>
                    <xdr:colOff>822960</xdr:colOff>
                    <xdr:row>9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heet3.RemoveRows">
                <anchor moveWithCells="1">
                  <from>
                    <xdr:col>13</xdr:col>
                    <xdr:colOff>1600200</xdr:colOff>
                    <xdr:row>8</xdr:row>
                    <xdr:rowOff>15240</xdr:rowOff>
                  </from>
                  <to>
                    <xdr:col>13</xdr:col>
                    <xdr:colOff>2301240</xdr:colOff>
                    <xdr:row>9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heet3.MoveRangeUp">
                <anchor moveWithCells="1">
                  <from>
                    <xdr:col>13</xdr:col>
                    <xdr:colOff>2339340</xdr:colOff>
                    <xdr:row>8</xdr:row>
                    <xdr:rowOff>15240</xdr:rowOff>
                  </from>
                  <to>
                    <xdr:col>14</xdr:col>
                    <xdr:colOff>190500</xdr:colOff>
                    <xdr:row>9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heet3.MoveRangeDown">
                <anchor moveWithCells="1">
                  <from>
                    <xdr:col>14</xdr:col>
                    <xdr:colOff>190500</xdr:colOff>
                    <xdr:row>8</xdr:row>
                    <xdr:rowOff>15240</xdr:rowOff>
                  </from>
                  <to>
                    <xdr:col>15</xdr:col>
                    <xdr:colOff>15240</xdr:colOff>
                    <xdr:row>9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Sheet3.AddModule">
                <anchor moveWithCells="1" sizeWithCells="1">
                  <from>
                    <xdr:col>13</xdr:col>
                    <xdr:colOff>861060</xdr:colOff>
                    <xdr:row>8</xdr:row>
                    <xdr:rowOff>15240</xdr:rowOff>
                  </from>
                  <to>
                    <xdr:col>13</xdr:col>
                    <xdr:colOff>1554480</xdr:colOff>
                    <xdr:row>9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0615" id="{40AC60B3-7CB6-431B-B1AA-41BBC469E3D9}">
            <x14:iconSet iconSet="3Stars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</x14:iconSet>
          </x14:cfRule>
          <xm:sqref>M3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AL19"/>
  <sheetViews>
    <sheetView zoomScaleNormal="100" workbookViewId="0">
      <selection activeCell="M19" sqref="M19"/>
    </sheetView>
  </sheetViews>
  <sheetFormatPr defaultColWidth="3.77734375" defaultRowHeight="14.4" x14ac:dyDescent="0.3"/>
  <cols>
    <col min="2" max="2" width="38.44140625" customWidth="1"/>
    <col min="3" max="4" width="3.77734375" customWidth="1"/>
  </cols>
  <sheetData>
    <row r="1" spans="2:38" ht="15" customHeight="1" x14ac:dyDescent="0.3">
      <c r="B1" s="70" t="s">
        <v>91</v>
      </c>
      <c r="C1" s="339">
        <f>START_DATE</f>
        <v>42583</v>
      </c>
      <c r="D1" s="339"/>
      <c r="E1" s="339"/>
      <c r="F1" s="339"/>
      <c r="I1" s="1" t="s">
        <v>95</v>
      </c>
      <c r="L1" s="340">
        <v>41583</v>
      </c>
      <c r="M1" s="340"/>
      <c r="N1" s="340"/>
      <c r="O1" s="340"/>
      <c r="R1" s="134"/>
      <c r="S1" s="134"/>
      <c r="T1" s="134"/>
      <c r="U1" s="134"/>
      <c r="V1" s="134"/>
      <c r="W1" s="134"/>
      <c r="X1" s="134"/>
      <c r="Y1" s="134"/>
      <c r="Z1" s="134"/>
      <c r="AA1" s="134"/>
      <c r="AB1" s="134"/>
      <c r="AC1" s="134"/>
      <c r="AD1" s="134"/>
      <c r="AE1" s="134"/>
      <c r="AF1" s="134"/>
      <c r="AG1" s="134"/>
      <c r="AH1" s="134"/>
      <c r="AI1" s="134"/>
      <c r="AJ1" s="134"/>
    </row>
    <row r="2" spans="2:38" x14ac:dyDescent="0.3">
      <c r="B2" s="135" t="s">
        <v>122</v>
      </c>
      <c r="C2" s="136" t="s">
        <v>123</v>
      </c>
      <c r="Q2" s="134"/>
      <c r="R2" s="134"/>
      <c r="S2" s="134"/>
      <c r="T2" s="134"/>
      <c r="U2" s="134"/>
      <c r="V2" s="134"/>
      <c r="W2" s="134"/>
      <c r="X2" s="134"/>
      <c r="Y2" s="134"/>
      <c r="Z2" s="134"/>
      <c r="AA2" s="134"/>
      <c r="AB2" s="134"/>
      <c r="AC2" s="134"/>
      <c r="AD2" s="134"/>
      <c r="AE2" s="134"/>
      <c r="AF2" s="134"/>
      <c r="AG2" s="134"/>
      <c r="AH2" s="134"/>
      <c r="AI2" s="134"/>
      <c r="AJ2" s="134"/>
    </row>
    <row r="3" spans="2:38" x14ac:dyDescent="0.3">
      <c r="B3" s="70" t="s">
        <v>93</v>
      </c>
      <c r="C3" s="337">
        <v>1</v>
      </c>
      <c r="D3" s="338"/>
      <c r="E3" s="338"/>
      <c r="F3" s="341"/>
      <c r="G3" s="337">
        <f>C3+1</f>
        <v>2</v>
      </c>
      <c r="H3" s="338"/>
      <c r="I3" s="338"/>
      <c r="J3" s="338"/>
      <c r="K3" s="337">
        <f>G3+1</f>
        <v>3</v>
      </c>
      <c r="L3" s="338"/>
      <c r="M3" s="338"/>
      <c r="N3" s="338"/>
      <c r="O3" s="337">
        <f>K3+1</f>
        <v>4</v>
      </c>
      <c r="P3" s="338"/>
      <c r="Q3" s="338"/>
      <c r="R3" s="338"/>
      <c r="S3" s="337">
        <f>O3+1</f>
        <v>5</v>
      </c>
      <c r="T3" s="338"/>
      <c r="U3" s="338"/>
      <c r="V3" s="338"/>
      <c r="W3" s="337">
        <f>S3+1</f>
        <v>6</v>
      </c>
      <c r="X3" s="338"/>
      <c r="Y3" s="338"/>
      <c r="Z3" s="338"/>
      <c r="AA3" s="337">
        <f>W3+1</f>
        <v>7</v>
      </c>
      <c r="AB3" s="338"/>
      <c r="AC3" s="338"/>
      <c r="AD3" s="338"/>
      <c r="AE3" s="337">
        <f>AA3+1</f>
        <v>8</v>
      </c>
      <c r="AF3" s="338"/>
      <c r="AG3" s="338"/>
      <c r="AH3" s="338"/>
      <c r="AI3" s="337">
        <f>AE3+1</f>
        <v>9</v>
      </c>
      <c r="AJ3" s="338"/>
      <c r="AK3" s="338"/>
      <c r="AL3" s="338"/>
    </row>
    <row r="4" spans="2:38" ht="45.75" customHeight="1" x14ac:dyDescent="0.3">
      <c r="B4" s="71" t="s">
        <v>94</v>
      </c>
      <c r="C4" s="72">
        <f>START_DATE</f>
        <v>42583</v>
      </c>
      <c r="D4" s="73">
        <f t="shared" ref="D4:AL4" si="0">WORKDAY(C4,5)</f>
        <v>42590</v>
      </c>
      <c r="E4" s="73">
        <f t="shared" si="0"/>
        <v>42597</v>
      </c>
      <c r="F4" s="74">
        <f t="shared" si="0"/>
        <v>42604</v>
      </c>
      <c r="G4" s="72">
        <f t="shared" si="0"/>
        <v>42611</v>
      </c>
      <c r="H4" s="73">
        <f t="shared" si="0"/>
        <v>42618</v>
      </c>
      <c r="I4" s="73">
        <f t="shared" si="0"/>
        <v>42625</v>
      </c>
      <c r="J4" s="73">
        <f t="shared" si="0"/>
        <v>42632</v>
      </c>
      <c r="K4" s="72">
        <f t="shared" si="0"/>
        <v>42639</v>
      </c>
      <c r="L4" s="73">
        <f t="shared" si="0"/>
        <v>42646</v>
      </c>
      <c r="M4" s="73">
        <f t="shared" si="0"/>
        <v>42653</v>
      </c>
      <c r="N4" s="73">
        <f t="shared" si="0"/>
        <v>42660</v>
      </c>
      <c r="O4" s="72">
        <f t="shared" si="0"/>
        <v>42667</v>
      </c>
      <c r="P4" s="73">
        <f t="shared" si="0"/>
        <v>42674</v>
      </c>
      <c r="Q4" s="73">
        <f t="shared" si="0"/>
        <v>42681</v>
      </c>
      <c r="R4" s="73">
        <f t="shared" si="0"/>
        <v>42688</v>
      </c>
      <c r="S4" s="72">
        <f t="shared" si="0"/>
        <v>42695</v>
      </c>
      <c r="T4" s="73">
        <f t="shared" si="0"/>
        <v>42702</v>
      </c>
      <c r="U4" s="73">
        <f t="shared" si="0"/>
        <v>42709</v>
      </c>
      <c r="V4" s="73">
        <f t="shared" si="0"/>
        <v>42716</v>
      </c>
      <c r="W4" s="72">
        <f t="shared" si="0"/>
        <v>42723</v>
      </c>
      <c r="X4" s="73">
        <f t="shared" si="0"/>
        <v>42730</v>
      </c>
      <c r="Y4" s="73">
        <f t="shared" si="0"/>
        <v>42737</v>
      </c>
      <c r="Z4" s="73">
        <f t="shared" si="0"/>
        <v>42744</v>
      </c>
      <c r="AA4" s="72">
        <f t="shared" si="0"/>
        <v>42751</v>
      </c>
      <c r="AB4" s="73">
        <f t="shared" si="0"/>
        <v>42758</v>
      </c>
      <c r="AC4" s="73">
        <f t="shared" si="0"/>
        <v>42765</v>
      </c>
      <c r="AD4" s="73">
        <f t="shared" si="0"/>
        <v>42772</v>
      </c>
      <c r="AE4" s="72">
        <f t="shared" si="0"/>
        <v>42779</v>
      </c>
      <c r="AF4" s="73">
        <f t="shared" si="0"/>
        <v>42786</v>
      </c>
      <c r="AG4" s="73">
        <f t="shared" si="0"/>
        <v>42793</v>
      </c>
      <c r="AH4" s="73">
        <f t="shared" si="0"/>
        <v>42800</v>
      </c>
      <c r="AI4" s="72">
        <f t="shared" si="0"/>
        <v>42807</v>
      </c>
      <c r="AJ4" s="73">
        <f t="shared" si="0"/>
        <v>42814</v>
      </c>
      <c r="AK4" s="73">
        <f t="shared" si="0"/>
        <v>42821</v>
      </c>
      <c r="AL4" s="73">
        <f t="shared" si="0"/>
        <v>42828</v>
      </c>
    </row>
    <row r="5" spans="2:38" x14ac:dyDescent="0.3">
      <c r="B5" s="127" t="s">
        <v>120</v>
      </c>
      <c r="C5" s="126"/>
      <c r="D5" s="126"/>
      <c r="E5" s="126"/>
      <c r="F5" s="126"/>
      <c r="G5" s="126"/>
      <c r="H5" s="126"/>
      <c r="I5" s="126"/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126"/>
      <c r="U5" s="126"/>
      <c r="V5" s="126"/>
      <c r="W5" s="126"/>
      <c r="X5" s="126"/>
      <c r="Y5" s="126"/>
      <c r="Z5" s="126"/>
      <c r="AA5" s="126"/>
      <c r="AB5" s="126"/>
      <c r="AC5" s="126"/>
      <c r="AD5" s="126"/>
      <c r="AE5" s="126"/>
      <c r="AF5" s="126"/>
      <c r="AG5" s="126"/>
      <c r="AH5" s="126"/>
      <c r="AI5" s="126"/>
      <c r="AJ5" s="126"/>
      <c r="AK5" s="126"/>
      <c r="AL5" s="126"/>
    </row>
    <row r="6" spans="2:38" x14ac:dyDescent="0.3">
      <c r="B6" s="125" t="str">
        <f>Estimation!N289</f>
        <v>Discovery / Requirement Analysis</v>
      </c>
      <c r="C6" s="129"/>
      <c r="D6" s="129"/>
      <c r="E6" s="129"/>
    </row>
    <row r="7" spans="2:38" x14ac:dyDescent="0.3">
      <c r="B7" s="125" t="str">
        <f>Estimation!N290</f>
        <v>System Design, Framework and Test Cases</v>
      </c>
      <c r="E7" s="130"/>
      <c r="F7" s="130"/>
      <c r="G7" s="130"/>
      <c r="H7" s="130"/>
      <c r="I7" s="130"/>
    </row>
    <row r="8" spans="2:38" x14ac:dyDescent="0.3">
      <c r="B8" s="125" t="str">
        <f>Estimation!N291</f>
        <v>Development and Unit Testing</v>
      </c>
      <c r="H8" s="131"/>
      <c r="I8" s="131"/>
      <c r="J8" s="131"/>
      <c r="K8" s="131"/>
      <c r="L8" s="131"/>
      <c r="M8" s="131"/>
      <c r="N8" s="131"/>
      <c r="O8" s="131"/>
      <c r="P8" s="131"/>
      <c r="Q8" s="131"/>
      <c r="R8" s="131"/>
      <c r="S8" s="131"/>
      <c r="T8" s="131"/>
    </row>
    <row r="9" spans="2:38" x14ac:dyDescent="0.3">
      <c r="B9" s="125" t="str">
        <f>Estimation!N292</f>
        <v>System Testing and Stabilization</v>
      </c>
      <c r="Q9" s="132"/>
      <c r="R9" s="132"/>
      <c r="S9" s="132"/>
      <c r="T9" s="132"/>
      <c r="U9" s="132"/>
      <c r="V9" s="132"/>
      <c r="W9" s="132"/>
      <c r="X9" s="132"/>
    </row>
    <row r="10" spans="2:38" x14ac:dyDescent="0.3">
      <c r="B10" s="125" t="str">
        <f>Estimation!N293</f>
        <v>Deployment, UAT and Documentation</v>
      </c>
      <c r="W10" s="133"/>
      <c r="X10" s="133"/>
      <c r="Y10" s="133"/>
      <c r="Z10" s="133"/>
      <c r="AA10" s="133"/>
    </row>
    <row r="11" spans="2:38" x14ac:dyDescent="0.3">
      <c r="B11" s="125" t="str">
        <f>Estimation!N294</f>
        <v>Others</v>
      </c>
      <c r="AA11" s="99"/>
      <c r="AB11" s="99"/>
    </row>
    <row r="12" spans="2:38" x14ac:dyDescent="0.3">
      <c r="B12" s="127" t="s">
        <v>121</v>
      </c>
      <c r="C12" s="126"/>
      <c r="D12" s="126"/>
      <c r="E12" s="126"/>
      <c r="F12" s="126"/>
      <c r="G12" s="126"/>
      <c r="H12" s="126"/>
      <c r="I12" s="126"/>
      <c r="J12" s="126"/>
      <c r="K12" s="126"/>
      <c r="L12" s="126"/>
      <c r="M12" s="126"/>
      <c r="N12" s="126"/>
      <c r="O12" s="126"/>
      <c r="P12" s="126"/>
      <c r="Q12" s="126"/>
      <c r="R12" s="126"/>
      <c r="S12" s="126"/>
      <c r="T12" s="126"/>
      <c r="U12" s="126"/>
      <c r="V12" s="126"/>
      <c r="W12" s="126"/>
      <c r="X12" s="126"/>
      <c r="Y12" s="126"/>
      <c r="Z12" s="126"/>
      <c r="AA12" s="126"/>
      <c r="AB12" s="126"/>
      <c r="AC12" s="126"/>
      <c r="AD12" s="126"/>
      <c r="AE12" s="126"/>
      <c r="AF12" s="126"/>
      <c r="AG12" s="126"/>
      <c r="AH12" s="126"/>
      <c r="AI12" s="126"/>
      <c r="AJ12" s="126"/>
      <c r="AK12" s="126"/>
      <c r="AL12" s="126"/>
    </row>
    <row r="13" spans="2:38" x14ac:dyDescent="0.3">
      <c r="B13" s="125" t="s">
        <v>8</v>
      </c>
      <c r="C13" s="128">
        <v>1</v>
      </c>
      <c r="D13" s="128"/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28"/>
      <c r="Q13" s="128"/>
      <c r="R13" s="128"/>
      <c r="S13" s="128"/>
      <c r="T13" s="128"/>
      <c r="U13" s="128"/>
      <c r="V13" s="128"/>
      <c r="W13" s="128"/>
      <c r="X13" s="128"/>
      <c r="Y13" s="128"/>
      <c r="Z13" s="128"/>
      <c r="AA13" s="128"/>
      <c r="AB13" s="128"/>
      <c r="AC13" s="128"/>
      <c r="AD13" s="128"/>
      <c r="AE13" s="128"/>
      <c r="AF13" s="128"/>
      <c r="AG13" s="128"/>
      <c r="AH13" s="128"/>
      <c r="AI13" s="128"/>
      <c r="AJ13" s="128"/>
      <c r="AK13" s="128"/>
      <c r="AL13" s="128"/>
    </row>
    <row r="14" spans="2:38" x14ac:dyDescent="0.3">
      <c r="B14" s="125" t="s">
        <v>9</v>
      </c>
      <c r="C14" s="128"/>
      <c r="D14" s="128">
        <v>1</v>
      </c>
      <c r="E14" s="128">
        <v>1</v>
      </c>
      <c r="F14" s="128">
        <v>1</v>
      </c>
      <c r="G14" s="128">
        <v>1</v>
      </c>
      <c r="H14" s="128">
        <v>1</v>
      </c>
      <c r="I14" s="128">
        <v>1</v>
      </c>
      <c r="J14" s="128"/>
      <c r="K14" s="128"/>
      <c r="L14" s="128"/>
      <c r="M14" s="128"/>
      <c r="N14" s="128"/>
      <c r="O14" s="128"/>
      <c r="P14" s="128"/>
      <c r="Q14" s="128"/>
      <c r="R14" s="128"/>
      <c r="S14" s="128"/>
      <c r="T14" s="128"/>
      <c r="U14" s="128"/>
      <c r="V14" s="128"/>
      <c r="W14" s="128"/>
      <c r="X14" s="128"/>
      <c r="Y14" s="128"/>
      <c r="Z14" s="128"/>
      <c r="AA14" s="128"/>
      <c r="AB14" s="128"/>
      <c r="AC14" s="128"/>
      <c r="AD14" s="128"/>
      <c r="AE14" s="128"/>
      <c r="AF14" s="128"/>
      <c r="AG14" s="128"/>
      <c r="AH14" s="128"/>
      <c r="AI14" s="128"/>
      <c r="AJ14" s="128"/>
      <c r="AK14" s="128"/>
      <c r="AL14" s="128"/>
    </row>
    <row r="15" spans="2:38" x14ac:dyDescent="0.3">
      <c r="B15" s="125" t="s">
        <v>10</v>
      </c>
      <c r="C15" s="128"/>
      <c r="D15" s="128"/>
      <c r="E15" s="128">
        <v>1</v>
      </c>
      <c r="F15" s="128">
        <v>1</v>
      </c>
      <c r="G15" s="128">
        <v>1</v>
      </c>
      <c r="H15" s="128">
        <v>1</v>
      </c>
      <c r="I15" s="128">
        <v>1</v>
      </c>
      <c r="J15" s="128">
        <v>1</v>
      </c>
      <c r="K15" s="128">
        <v>1</v>
      </c>
      <c r="L15" s="128">
        <v>1</v>
      </c>
      <c r="M15" s="128">
        <v>1</v>
      </c>
      <c r="N15" s="128">
        <v>1</v>
      </c>
      <c r="O15" s="128">
        <v>1</v>
      </c>
      <c r="P15" s="128">
        <v>1</v>
      </c>
      <c r="Q15" s="128">
        <v>1</v>
      </c>
      <c r="R15" s="128">
        <v>1</v>
      </c>
      <c r="S15" s="128">
        <v>1</v>
      </c>
      <c r="T15" s="128">
        <v>1</v>
      </c>
      <c r="U15" s="128">
        <v>1</v>
      </c>
      <c r="V15" s="128">
        <v>1</v>
      </c>
      <c r="W15" s="128">
        <v>1</v>
      </c>
      <c r="X15" s="128">
        <v>1</v>
      </c>
      <c r="Y15" s="128">
        <v>1</v>
      </c>
      <c r="Z15" s="128">
        <v>1</v>
      </c>
      <c r="AA15" s="128">
        <v>1</v>
      </c>
      <c r="AB15" s="128">
        <v>1</v>
      </c>
      <c r="AC15" s="128"/>
      <c r="AD15" s="128"/>
      <c r="AE15" s="128"/>
      <c r="AF15" s="128"/>
      <c r="AG15" s="128"/>
      <c r="AH15" s="128"/>
      <c r="AI15" s="128"/>
      <c r="AJ15" s="128"/>
      <c r="AK15" s="128"/>
      <c r="AL15" s="128"/>
    </row>
    <row r="16" spans="2:38" x14ac:dyDescent="0.3">
      <c r="B16" s="125" t="s">
        <v>12</v>
      </c>
      <c r="C16" s="128"/>
      <c r="D16" s="128"/>
      <c r="E16" s="128"/>
      <c r="F16" s="128"/>
      <c r="G16" s="128"/>
      <c r="H16" s="128">
        <v>2</v>
      </c>
      <c r="I16" s="128">
        <v>2</v>
      </c>
      <c r="J16" s="128">
        <v>2</v>
      </c>
      <c r="K16" s="128">
        <v>2</v>
      </c>
      <c r="L16" s="128">
        <v>2</v>
      </c>
      <c r="M16" s="128">
        <v>2</v>
      </c>
      <c r="N16" s="128">
        <v>2</v>
      </c>
      <c r="O16" s="128">
        <v>2</v>
      </c>
      <c r="P16" s="128">
        <v>2</v>
      </c>
      <c r="Q16" s="128">
        <v>2</v>
      </c>
      <c r="R16" s="128">
        <v>2</v>
      </c>
      <c r="S16" s="128">
        <v>2</v>
      </c>
      <c r="T16" s="128">
        <v>2</v>
      </c>
      <c r="U16" s="128">
        <v>2</v>
      </c>
      <c r="V16" s="128">
        <v>2</v>
      </c>
      <c r="W16" s="128">
        <v>2</v>
      </c>
      <c r="X16" s="128">
        <v>2</v>
      </c>
      <c r="Y16" s="128">
        <v>2</v>
      </c>
      <c r="Z16" s="128">
        <v>2</v>
      </c>
      <c r="AA16" s="128">
        <v>2</v>
      </c>
      <c r="AB16" s="128">
        <v>2</v>
      </c>
      <c r="AC16" s="128"/>
      <c r="AD16" s="128"/>
      <c r="AE16" s="128"/>
      <c r="AF16" s="128"/>
      <c r="AG16" s="128"/>
      <c r="AH16" s="128"/>
      <c r="AI16" s="128"/>
      <c r="AJ16" s="128"/>
      <c r="AK16" s="128"/>
      <c r="AL16" s="128"/>
    </row>
    <row r="17" spans="2:38" x14ac:dyDescent="0.3">
      <c r="B17" s="125" t="s">
        <v>11</v>
      </c>
      <c r="C17" s="128"/>
      <c r="D17" s="128"/>
      <c r="E17" s="128"/>
      <c r="F17" s="128"/>
      <c r="G17" s="128"/>
      <c r="H17" s="128">
        <v>1</v>
      </c>
      <c r="I17" s="128">
        <v>1</v>
      </c>
      <c r="J17" s="128"/>
      <c r="K17" s="128"/>
      <c r="L17" s="128"/>
      <c r="M17" s="128"/>
      <c r="N17" s="128"/>
      <c r="O17" s="128"/>
      <c r="P17" s="128"/>
      <c r="Q17" s="128">
        <v>1</v>
      </c>
      <c r="R17" s="128">
        <v>1</v>
      </c>
      <c r="S17" s="128">
        <v>1</v>
      </c>
      <c r="T17" s="128">
        <v>1</v>
      </c>
      <c r="U17" s="128">
        <v>1</v>
      </c>
      <c r="V17" s="128">
        <v>1</v>
      </c>
      <c r="W17" s="128">
        <v>1</v>
      </c>
      <c r="X17" s="128">
        <v>1</v>
      </c>
      <c r="Y17" s="128"/>
      <c r="Z17" s="128"/>
      <c r="AA17" s="128"/>
      <c r="AB17" s="128"/>
      <c r="AC17" s="128"/>
      <c r="AD17" s="128"/>
      <c r="AE17" s="128"/>
      <c r="AF17" s="128"/>
      <c r="AG17" s="128"/>
      <c r="AH17" s="128"/>
      <c r="AI17" s="128"/>
      <c r="AJ17" s="128"/>
      <c r="AK17" s="128"/>
      <c r="AL17" s="128"/>
    </row>
    <row r="18" spans="2:38" x14ac:dyDescent="0.3">
      <c r="B18" s="125" t="s">
        <v>13</v>
      </c>
      <c r="C18" s="128">
        <v>1</v>
      </c>
      <c r="D18" s="128"/>
      <c r="E18" s="128"/>
      <c r="F18" s="128"/>
      <c r="G18" s="128"/>
      <c r="H18" s="128"/>
      <c r="I18" s="128"/>
      <c r="J18" s="128"/>
      <c r="K18" s="128"/>
      <c r="L18" s="128"/>
      <c r="M18" s="128"/>
      <c r="N18" s="128"/>
      <c r="O18" s="128"/>
      <c r="P18" s="128"/>
      <c r="Q18" s="128"/>
      <c r="R18" s="128"/>
      <c r="S18" s="128"/>
      <c r="T18" s="128"/>
      <c r="U18" s="128"/>
      <c r="V18" s="128"/>
      <c r="W18" s="128"/>
      <c r="X18" s="128"/>
      <c r="Y18" s="128"/>
      <c r="Z18" s="128"/>
      <c r="AA18" s="128"/>
      <c r="AB18" s="128"/>
      <c r="AC18" s="128"/>
      <c r="AD18" s="128"/>
      <c r="AE18" s="128"/>
      <c r="AF18" s="128"/>
      <c r="AG18" s="128"/>
      <c r="AH18" s="128"/>
      <c r="AI18" s="128"/>
      <c r="AJ18" s="128"/>
      <c r="AK18" s="128"/>
      <c r="AL18" s="128"/>
    </row>
    <row r="19" spans="2:38" x14ac:dyDescent="0.3">
      <c r="C19" s="128"/>
      <c r="D19" s="128"/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28"/>
      <c r="Q19" s="128"/>
      <c r="R19" s="128"/>
      <c r="S19" s="128"/>
      <c r="T19" s="128"/>
      <c r="U19" s="128"/>
      <c r="V19" s="128"/>
      <c r="W19" s="128"/>
      <c r="X19" s="128"/>
      <c r="Y19" s="128"/>
      <c r="Z19" s="128"/>
      <c r="AA19" s="128"/>
      <c r="AB19" s="128"/>
      <c r="AC19" s="128"/>
      <c r="AD19" s="128"/>
      <c r="AE19" s="128"/>
      <c r="AF19" s="128"/>
      <c r="AG19" s="128"/>
      <c r="AH19" s="128"/>
      <c r="AI19" s="128"/>
      <c r="AJ19" s="128"/>
      <c r="AK19" s="128"/>
      <c r="AL19" s="128"/>
    </row>
  </sheetData>
  <mergeCells count="11">
    <mergeCell ref="AA3:AD3"/>
    <mergeCell ref="AE3:AH3"/>
    <mergeCell ref="AI3:AL3"/>
    <mergeCell ref="C1:F1"/>
    <mergeCell ref="L1:O1"/>
    <mergeCell ref="C3:F3"/>
    <mergeCell ref="G3:J3"/>
    <mergeCell ref="K3:N3"/>
    <mergeCell ref="O3:R3"/>
    <mergeCell ref="S3:V3"/>
    <mergeCell ref="W3:Z3"/>
  </mergeCells>
  <pageMargins left="0.7" right="0.7" top="0.75" bottom="0.75" header="0.3" footer="0.3"/>
  <pageSetup scale="72" orientation="landscape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C00000"/>
  </sheetPr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1"/>
    <outlinePr summaryBelow="0" summaryRight="0"/>
  </sheetPr>
  <dimension ref="B2:BQ154"/>
  <sheetViews>
    <sheetView showGridLines="0" workbookViewId="0">
      <pane ySplit="2" topLeftCell="A3" activePane="bottomLeft" state="frozenSplit"/>
      <selection pane="bottomLeft" activeCell="T142" sqref="T142"/>
    </sheetView>
  </sheetViews>
  <sheetFormatPr defaultColWidth="2.77734375" defaultRowHeight="14.4" x14ac:dyDescent="0.3"/>
  <cols>
    <col min="1" max="16384" width="2.77734375" style="172"/>
  </cols>
  <sheetData>
    <row r="2" spans="2:58" ht="28.8" x14ac:dyDescent="0.3">
      <c r="B2" s="171" t="str">
        <f>TEMPLATE_NAME&amp;" "&amp;TEMPLATE_VER&amp;" - HELP"</f>
        <v>AG Estimation Template -  Version 2.0.4 - HELP</v>
      </c>
    </row>
    <row r="4" spans="2:58" x14ac:dyDescent="0.3">
      <c r="B4" s="172" t="s">
        <v>176</v>
      </c>
    </row>
    <row r="5" spans="2:58" x14ac:dyDescent="0.3">
      <c r="B5" s="209" t="s">
        <v>177</v>
      </c>
      <c r="D5" s="172" t="s">
        <v>178</v>
      </c>
    </row>
    <row r="6" spans="2:58" x14ac:dyDescent="0.3">
      <c r="B6" s="209" t="s">
        <v>177</v>
      </c>
      <c r="D6" s="172" t="s">
        <v>179</v>
      </c>
    </row>
    <row r="7" spans="2:58" x14ac:dyDescent="0.3">
      <c r="B7" s="209" t="s">
        <v>177</v>
      </c>
      <c r="D7" s="172" t="s">
        <v>180</v>
      </c>
    </row>
    <row r="8" spans="2:58" x14ac:dyDescent="0.3">
      <c r="B8" s="209" t="s">
        <v>177</v>
      </c>
      <c r="D8" s="172" t="s">
        <v>181</v>
      </c>
    </row>
    <row r="9" spans="2:58" x14ac:dyDescent="0.3">
      <c r="B9" s="209" t="s">
        <v>177</v>
      </c>
      <c r="D9" s="172" t="s">
        <v>182</v>
      </c>
    </row>
    <row r="10" spans="2:58" x14ac:dyDescent="0.3">
      <c r="B10" s="209" t="s">
        <v>177</v>
      </c>
      <c r="D10" s="172" t="s">
        <v>183</v>
      </c>
    </row>
    <row r="11" spans="2:58" x14ac:dyDescent="0.3">
      <c r="B11" s="209" t="s">
        <v>177</v>
      </c>
      <c r="D11" s="172" t="s">
        <v>184</v>
      </c>
    </row>
    <row r="13" spans="2:58" x14ac:dyDescent="0.3">
      <c r="B13" s="342" t="s">
        <v>263</v>
      </c>
      <c r="C13" s="342"/>
      <c r="D13" s="342"/>
      <c r="E13" s="342"/>
      <c r="F13" s="342"/>
      <c r="G13" s="342"/>
      <c r="H13" s="342"/>
      <c r="I13" s="342"/>
      <c r="J13" s="342"/>
      <c r="N13" s="235" t="s">
        <v>424</v>
      </c>
      <c r="O13" s="234"/>
      <c r="P13" s="234"/>
      <c r="Q13" s="234"/>
      <c r="R13" s="234"/>
      <c r="S13" s="234"/>
      <c r="T13" s="234"/>
      <c r="U13" s="234"/>
      <c r="V13" s="234"/>
      <c r="W13" s="234"/>
      <c r="X13" s="234"/>
      <c r="Y13" s="234"/>
      <c r="Z13" s="234"/>
      <c r="AA13" s="234"/>
      <c r="AB13" s="234"/>
      <c r="AC13" s="234"/>
      <c r="AD13" s="234"/>
      <c r="AE13" s="234"/>
      <c r="AF13" s="234"/>
      <c r="AG13" s="234"/>
      <c r="AH13" s="234"/>
      <c r="AI13" s="234"/>
      <c r="AJ13" s="234"/>
      <c r="AK13" s="234"/>
      <c r="AL13" s="234"/>
      <c r="AM13" s="234"/>
      <c r="AN13" s="234"/>
      <c r="AO13" s="234"/>
      <c r="AP13" s="234"/>
      <c r="AQ13" s="234"/>
      <c r="AR13" s="234"/>
      <c r="AS13" s="234"/>
      <c r="AT13" s="234"/>
      <c r="AU13" s="234"/>
      <c r="AV13" s="239" t="s">
        <v>425</v>
      </c>
      <c r="AW13" s="234"/>
      <c r="AX13" s="235" t="s">
        <v>426</v>
      </c>
      <c r="AY13" s="234"/>
      <c r="AZ13" s="234"/>
      <c r="BA13" s="234"/>
      <c r="BB13" s="234"/>
      <c r="BC13" s="234"/>
      <c r="BD13" s="234"/>
      <c r="BE13" s="234"/>
      <c r="BF13" s="234"/>
    </row>
    <row r="14" spans="2:58" x14ac:dyDescent="0.3">
      <c r="B14" s="342"/>
      <c r="C14" s="342"/>
      <c r="D14" s="342"/>
      <c r="E14" s="342"/>
      <c r="F14" s="342"/>
      <c r="G14" s="342"/>
      <c r="H14" s="342"/>
      <c r="I14" s="342"/>
      <c r="J14" s="342"/>
      <c r="N14" s="235" t="s">
        <v>427</v>
      </c>
      <c r="S14" s="235" t="s">
        <v>428</v>
      </c>
      <c r="AH14" s="239" t="s">
        <v>429</v>
      </c>
    </row>
    <row r="15" spans="2:58" ht="15" customHeight="1" x14ac:dyDescent="0.3">
      <c r="B15" s="236"/>
      <c r="C15" s="236"/>
      <c r="D15" s="236"/>
      <c r="E15" s="236"/>
      <c r="F15" s="236"/>
      <c r="G15" s="236"/>
      <c r="H15" s="236"/>
      <c r="I15" s="236"/>
      <c r="J15" s="236"/>
      <c r="N15" s="237"/>
      <c r="S15" s="237"/>
      <c r="AH15" s="238"/>
    </row>
    <row r="16" spans="2:58" ht="15" customHeight="1" x14ac:dyDescent="0.3">
      <c r="H16" s="343" t="s">
        <v>195</v>
      </c>
      <c r="I16" s="343"/>
      <c r="J16" s="343"/>
      <c r="K16" s="343"/>
      <c r="L16" s="343"/>
      <c r="M16" s="343"/>
      <c r="N16" s="343"/>
      <c r="O16" s="343"/>
      <c r="P16" s="343"/>
      <c r="Q16" s="343"/>
      <c r="R16" s="343"/>
      <c r="S16" s="343"/>
      <c r="T16" s="343"/>
      <c r="U16" s="343"/>
      <c r="V16" s="343"/>
      <c r="AL16" s="343" t="s">
        <v>245</v>
      </c>
      <c r="AM16" s="343"/>
      <c r="AN16" s="343"/>
      <c r="AO16" s="343"/>
      <c r="AP16" s="343"/>
      <c r="AQ16" s="343"/>
      <c r="AR16" s="343"/>
      <c r="AS16" s="343"/>
      <c r="AT16" s="343"/>
      <c r="AU16" s="343"/>
      <c r="AV16" s="343"/>
      <c r="AW16" s="343"/>
      <c r="AX16" s="343"/>
      <c r="AY16" s="343"/>
      <c r="AZ16" s="343"/>
      <c r="BA16" s="343"/>
      <c r="BB16" s="343"/>
      <c r="BC16" s="343"/>
      <c r="BD16" s="343"/>
    </row>
    <row r="17" spans="2:56" ht="15" customHeight="1" x14ac:dyDescent="0.3">
      <c r="H17" s="343"/>
      <c r="I17" s="343"/>
      <c r="J17" s="343"/>
      <c r="K17" s="343"/>
      <c r="L17" s="343"/>
      <c r="M17" s="343"/>
      <c r="N17" s="343"/>
      <c r="O17" s="343"/>
      <c r="P17" s="343"/>
      <c r="Q17" s="343"/>
      <c r="R17" s="343"/>
      <c r="S17" s="343"/>
      <c r="T17" s="343"/>
      <c r="U17" s="343"/>
      <c r="V17" s="343"/>
      <c r="AL17" s="343"/>
      <c r="AM17" s="343"/>
      <c r="AN17" s="343"/>
      <c r="AO17" s="343"/>
      <c r="AP17" s="343"/>
      <c r="AQ17" s="343"/>
      <c r="AR17" s="343"/>
      <c r="AS17" s="343"/>
      <c r="AT17" s="343"/>
      <c r="AU17" s="343"/>
      <c r="AV17" s="343"/>
      <c r="AW17" s="343"/>
      <c r="AX17" s="343"/>
      <c r="AY17" s="343"/>
      <c r="AZ17" s="343"/>
      <c r="BA17" s="343"/>
      <c r="BB17" s="343"/>
      <c r="BC17" s="343"/>
      <c r="BD17" s="343"/>
    </row>
    <row r="18" spans="2:56" x14ac:dyDescent="0.3">
      <c r="H18" s="172" t="s">
        <v>196</v>
      </c>
      <c r="AL18" s="172" t="s">
        <v>200</v>
      </c>
    </row>
    <row r="19" spans="2:56" x14ac:dyDescent="0.3">
      <c r="H19" s="172" t="s">
        <v>197</v>
      </c>
      <c r="AL19" s="172" t="s">
        <v>201</v>
      </c>
    </row>
    <row r="20" spans="2:56" x14ac:dyDescent="0.3">
      <c r="H20" s="172" t="s">
        <v>198</v>
      </c>
      <c r="AL20" s="172" t="s">
        <v>202</v>
      </c>
    </row>
    <row r="21" spans="2:56" x14ac:dyDescent="0.3">
      <c r="H21" s="172" t="s">
        <v>199</v>
      </c>
    </row>
    <row r="22" spans="2:56" x14ac:dyDescent="0.3">
      <c r="H22" s="172" t="s">
        <v>205</v>
      </c>
      <c r="O22"/>
      <c r="AL22" s="172" t="s">
        <v>203</v>
      </c>
    </row>
    <row r="23" spans="2:56" x14ac:dyDescent="0.3">
      <c r="H23" s="172" t="s">
        <v>206</v>
      </c>
      <c r="AL23" s="172" t="s">
        <v>204</v>
      </c>
    </row>
    <row r="29" spans="2:56" x14ac:dyDescent="0.3">
      <c r="B29" s="343" t="s">
        <v>207</v>
      </c>
      <c r="C29" s="343"/>
      <c r="D29" s="343"/>
      <c r="E29" s="343"/>
      <c r="F29" s="343"/>
      <c r="G29" s="343"/>
      <c r="H29" s="343"/>
      <c r="I29" s="343"/>
      <c r="J29" s="343"/>
      <c r="K29" s="343"/>
      <c r="L29" s="343"/>
      <c r="M29" s="343"/>
      <c r="N29" s="343"/>
      <c r="O29" s="343"/>
    </row>
    <row r="30" spans="2:56" x14ac:dyDescent="0.3">
      <c r="B30" s="343"/>
      <c r="C30" s="343"/>
      <c r="D30" s="343"/>
      <c r="E30" s="343"/>
      <c r="F30" s="343"/>
      <c r="G30" s="343"/>
      <c r="H30" s="343"/>
      <c r="I30" s="343"/>
      <c r="J30" s="343"/>
      <c r="K30" s="343"/>
      <c r="L30" s="343"/>
      <c r="M30" s="343"/>
      <c r="N30" s="343"/>
      <c r="O30" s="343"/>
    </row>
    <row r="31" spans="2:56" x14ac:dyDescent="0.3">
      <c r="B31" s="172" t="s">
        <v>431</v>
      </c>
    </row>
    <row r="32" spans="2:56" x14ac:dyDescent="0.3">
      <c r="B32" s="172" t="s">
        <v>432</v>
      </c>
    </row>
    <row r="33" spans="2:31" x14ac:dyDescent="0.3">
      <c r="B33" s="172" t="s">
        <v>433</v>
      </c>
    </row>
    <row r="34" spans="2:31" x14ac:dyDescent="0.3">
      <c r="B34" s="172" t="s">
        <v>434</v>
      </c>
    </row>
    <row r="35" spans="2:31" x14ac:dyDescent="0.3">
      <c r="B35" s="172" t="s">
        <v>435</v>
      </c>
    </row>
    <row r="36" spans="2:31" x14ac:dyDescent="0.3">
      <c r="B36" s="172" t="s">
        <v>436</v>
      </c>
    </row>
    <row r="41" spans="2:31" x14ac:dyDescent="0.3">
      <c r="B41" s="343" t="s">
        <v>208</v>
      </c>
      <c r="C41" s="343"/>
      <c r="D41" s="343"/>
      <c r="E41" s="343"/>
      <c r="F41" s="343"/>
      <c r="G41" s="343"/>
      <c r="H41" s="343"/>
      <c r="I41" s="343"/>
      <c r="J41" s="343"/>
      <c r="K41" s="343"/>
      <c r="L41" s="343"/>
      <c r="M41" s="343"/>
      <c r="N41" s="343"/>
      <c r="O41" s="343"/>
    </row>
    <row r="42" spans="2:31" x14ac:dyDescent="0.3">
      <c r="B42" s="343"/>
      <c r="C42" s="343"/>
      <c r="D42" s="343"/>
      <c r="E42" s="343"/>
      <c r="F42" s="343"/>
      <c r="G42" s="343"/>
      <c r="H42" s="343"/>
      <c r="I42" s="343"/>
      <c r="J42" s="343"/>
      <c r="K42" s="343"/>
      <c r="L42" s="343"/>
      <c r="M42" s="343"/>
      <c r="N42" s="343"/>
      <c r="O42" s="343"/>
      <c r="AE42" s="172" t="s">
        <v>214</v>
      </c>
    </row>
    <row r="43" spans="2:31" x14ac:dyDescent="0.3">
      <c r="B43" s="172" t="s">
        <v>210</v>
      </c>
      <c r="AE43" s="172" t="s">
        <v>213</v>
      </c>
    </row>
    <row r="44" spans="2:31" x14ac:dyDescent="0.3">
      <c r="B44" s="172" t="s">
        <v>209</v>
      </c>
      <c r="AE44" s="172" t="s">
        <v>215</v>
      </c>
    </row>
    <row r="46" spans="2:31" x14ac:dyDescent="0.3">
      <c r="B46" s="172" t="s">
        <v>211</v>
      </c>
      <c r="AE46" s="172" t="s">
        <v>216</v>
      </c>
    </row>
    <row r="47" spans="2:31" x14ac:dyDescent="0.3">
      <c r="B47" s="172" t="s">
        <v>212</v>
      </c>
      <c r="AE47" s="172" t="s">
        <v>217</v>
      </c>
    </row>
    <row r="49" spans="2:14" x14ac:dyDescent="0.3">
      <c r="B49" s="343" t="s">
        <v>224</v>
      </c>
      <c r="C49" s="343"/>
      <c r="D49" s="343"/>
      <c r="E49" s="343"/>
      <c r="F49" s="343"/>
      <c r="G49" s="343"/>
      <c r="H49" s="343"/>
      <c r="I49" s="343"/>
      <c r="J49" s="343"/>
      <c r="K49" s="343"/>
      <c r="L49" s="343"/>
      <c r="M49" s="343"/>
      <c r="N49" s="343"/>
    </row>
    <row r="50" spans="2:14" x14ac:dyDescent="0.3">
      <c r="B50" s="343"/>
      <c r="C50" s="343"/>
      <c r="D50" s="343"/>
      <c r="E50" s="343"/>
      <c r="F50" s="343"/>
      <c r="G50" s="343"/>
      <c r="H50" s="343"/>
      <c r="I50" s="343"/>
      <c r="J50" s="343"/>
      <c r="K50" s="343"/>
      <c r="L50" s="343"/>
      <c r="M50" s="343"/>
      <c r="N50" s="343"/>
    </row>
    <row r="51" spans="2:14" x14ac:dyDescent="0.3">
      <c r="B51" s="172" t="s">
        <v>218</v>
      </c>
    </row>
    <row r="52" spans="2:14" x14ac:dyDescent="0.3">
      <c r="B52" s="172" t="s">
        <v>219</v>
      </c>
    </row>
    <row r="54" spans="2:14" x14ac:dyDescent="0.3">
      <c r="B54" s="172" t="s">
        <v>220</v>
      </c>
    </row>
    <row r="55" spans="2:14" x14ac:dyDescent="0.3">
      <c r="B55" s="172" t="s">
        <v>221</v>
      </c>
    </row>
    <row r="56" spans="2:14" x14ac:dyDescent="0.3">
      <c r="B56" s="172" t="s">
        <v>222</v>
      </c>
    </row>
    <row r="57" spans="2:14" x14ac:dyDescent="0.3">
      <c r="B57" s="172" t="s">
        <v>223</v>
      </c>
    </row>
    <row r="71" spans="2:16" x14ac:dyDescent="0.3">
      <c r="B71" s="343" t="s">
        <v>225</v>
      </c>
      <c r="C71" s="343"/>
      <c r="D71" s="343"/>
      <c r="E71" s="343"/>
      <c r="F71" s="343"/>
      <c r="G71" s="343"/>
      <c r="H71" s="343"/>
      <c r="I71" s="343"/>
      <c r="J71" s="343"/>
      <c r="K71" s="343"/>
      <c r="L71" s="343"/>
      <c r="M71" s="343"/>
      <c r="N71" s="343"/>
      <c r="O71" s="343"/>
      <c r="P71" s="343"/>
    </row>
    <row r="72" spans="2:16" x14ac:dyDescent="0.3">
      <c r="B72" s="343"/>
      <c r="C72" s="343"/>
      <c r="D72" s="343"/>
      <c r="E72" s="343"/>
      <c r="F72" s="343"/>
      <c r="G72" s="343"/>
      <c r="H72" s="343"/>
      <c r="I72" s="343"/>
      <c r="J72" s="343"/>
      <c r="K72" s="343"/>
      <c r="L72" s="343"/>
      <c r="M72" s="343"/>
      <c r="N72" s="343"/>
      <c r="O72" s="343"/>
      <c r="P72" s="343"/>
    </row>
    <row r="73" spans="2:16" x14ac:dyDescent="0.3">
      <c r="B73" s="172" t="s">
        <v>226</v>
      </c>
    </row>
    <row r="74" spans="2:16" x14ac:dyDescent="0.3">
      <c r="B74" s="172" t="s">
        <v>228</v>
      </c>
    </row>
    <row r="75" spans="2:16" x14ac:dyDescent="0.3">
      <c r="B75" s="172" t="s">
        <v>227</v>
      </c>
    </row>
    <row r="79" spans="2:16" x14ac:dyDescent="0.3">
      <c r="B79" s="172" t="s">
        <v>229</v>
      </c>
    </row>
    <row r="80" spans="2:16" x14ac:dyDescent="0.3">
      <c r="B80" s="172" t="s">
        <v>230</v>
      </c>
    </row>
    <row r="83" spans="3:69" ht="15" customHeight="1" x14ac:dyDescent="0.3">
      <c r="BG83" s="217" t="s">
        <v>233</v>
      </c>
      <c r="BH83" s="216"/>
      <c r="BI83" s="216"/>
      <c r="BJ83" s="216"/>
      <c r="BK83" s="216"/>
      <c r="BL83" s="216"/>
      <c r="BM83" s="216"/>
      <c r="BN83" s="216"/>
      <c r="BO83" s="216"/>
      <c r="BP83" s="216"/>
    </row>
    <row r="84" spans="3:69" ht="15" customHeight="1" x14ac:dyDescent="0.3">
      <c r="C84" s="343" t="s">
        <v>234</v>
      </c>
      <c r="D84" s="343"/>
      <c r="E84" s="343"/>
      <c r="F84" s="343"/>
      <c r="G84" s="343"/>
      <c r="H84" s="343"/>
      <c r="I84" s="343"/>
      <c r="J84" s="343"/>
      <c r="K84" s="343"/>
      <c r="L84" s="343"/>
      <c r="M84" s="343"/>
      <c r="N84" s="343"/>
      <c r="O84" s="343"/>
      <c r="P84" s="343"/>
      <c r="Q84" s="343"/>
      <c r="AZ84" s="217"/>
      <c r="BA84" s="217"/>
      <c r="BB84" s="217"/>
      <c r="BC84" s="217"/>
      <c r="BD84" s="217"/>
      <c r="BF84" s="217"/>
      <c r="BG84" s="216" t="s">
        <v>231</v>
      </c>
      <c r="BH84" s="217"/>
      <c r="BI84" s="217"/>
      <c r="BJ84" s="217"/>
    </row>
    <row r="85" spans="3:69" ht="18" x14ac:dyDescent="0.3">
      <c r="C85" s="343"/>
      <c r="D85" s="343"/>
      <c r="E85" s="343"/>
      <c r="F85" s="343"/>
      <c r="G85" s="343"/>
      <c r="H85" s="343"/>
      <c r="I85" s="343"/>
      <c r="J85" s="343"/>
      <c r="K85" s="343"/>
      <c r="L85" s="343"/>
      <c r="M85" s="343"/>
      <c r="N85" s="343"/>
      <c r="O85" s="343"/>
      <c r="P85" s="343"/>
      <c r="Q85" s="343"/>
      <c r="AY85" s="217"/>
      <c r="AZ85" s="217"/>
      <c r="BA85" s="217"/>
      <c r="BB85" s="217"/>
      <c r="BC85" s="217"/>
      <c r="BD85" s="217"/>
      <c r="BF85" s="217"/>
      <c r="BG85" s="216" t="s">
        <v>232</v>
      </c>
      <c r="BH85" s="217"/>
      <c r="BI85" s="217"/>
      <c r="BJ85" s="217"/>
      <c r="BK85" s="216"/>
      <c r="BL85" s="216"/>
      <c r="BM85" s="216"/>
      <c r="BN85" s="216"/>
      <c r="BO85" s="216"/>
      <c r="BP85" s="216"/>
      <c r="BQ85" s="216"/>
    </row>
    <row r="86" spans="3:69" x14ac:dyDescent="0.3">
      <c r="C86" s="172" t="s">
        <v>235</v>
      </c>
      <c r="BG86" s="216"/>
      <c r="BH86" s="216"/>
      <c r="BI86" s="216"/>
      <c r="BJ86" s="216"/>
      <c r="BK86" s="216"/>
      <c r="BL86" s="216"/>
      <c r="BM86" s="216"/>
      <c r="BN86" s="216"/>
      <c r="BO86" s="216"/>
      <c r="BP86" s="216"/>
      <c r="BQ86" s="216"/>
    </row>
    <row r="87" spans="3:69" x14ac:dyDescent="0.3">
      <c r="C87" s="172" t="s">
        <v>236</v>
      </c>
    </row>
    <row r="93" spans="3:69" x14ac:dyDescent="0.3">
      <c r="AE93" s="343" t="s">
        <v>237</v>
      </c>
      <c r="AF93" s="343"/>
      <c r="AG93" s="343"/>
      <c r="AH93" s="343"/>
      <c r="AI93" s="343"/>
      <c r="AJ93" s="343"/>
      <c r="AK93" s="343"/>
      <c r="AL93" s="343"/>
      <c r="AM93" s="343"/>
      <c r="AN93" s="343"/>
      <c r="AO93" s="343"/>
      <c r="AP93" s="343"/>
      <c r="AQ93" s="343"/>
      <c r="AR93" s="343"/>
      <c r="AS93" s="343"/>
      <c r="AT93" s="343"/>
      <c r="AU93" s="343"/>
      <c r="AV93" s="343"/>
      <c r="AW93" s="343"/>
      <c r="AX93" s="343"/>
      <c r="AY93" s="343"/>
    </row>
    <row r="94" spans="3:69" x14ac:dyDescent="0.3">
      <c r="AE94" s="343"/>
      <c r="AF94" s="343"/>
      <c r="AG94" s="343"/>
      <c r="AH94" s="343"/>
      <c r="AI94" s="343"/>
      <c r="AJ94" s="343"/>
      <c r="AK94" s="343"/>
      <c r="AL94" s="343"/>
      <c r="AM94" s="343"/>
      <c r="AN94" s="343"/>
      <c r="AO94" s="343"/>
      <c r="AP94" s="343"/>
      <c r="AQ94" s="343"/>
      <c r="AR94" s="343"/>
      <c r="AS94" s="343"/>
      <c r="AT94" s="343"/>
      <c r="AU94" s="343"/>
      <c r="AV94" s="343"/>
      <c r="AW94" s="343"/>
      <c r="AX94" s="343"/>
      <c r="AY94" s="343"/>
    </row>
    <row r="95" spans="3:69" x14ac:dyDescent="0.3">
      <c r="AE95" s="172" t="s">
        <v>238</v>
      </c>
    </row>
    <row r="96" spans="3:69" ht="15" customHeight="1" x14ac:dyDescent="0.3">
      <c r="AE96" s="172" t="s">
        <v>239</v>
      </c>
    </row>
    <row r="97" spans="3:23" ht="15" customHeight="1" x14ac:dyDescent="0.3"/>
    <row r="104" spans="3:23" x14ac:dyDescent="0.3">
      <c r="C104" s="343" t="s">
        <v>240</v>
      </c>
      <c r="D104" s="343"/>
      <c r="E104" s="343"/>
      <c r="F104" s="343"/>
      <c r="G104" s="343"/>
      <c r="H104" s="343"/>
      <c r="I104" s="343"/>
      <c r="J104" s="343"/>
      <c r="K104" s="343"/>
      <c r="L104" s="343"/>
      <c r="M104" s="343"/>
      <c r="N104" s="343"/>
      <c r="O104" s="343"/>
      <c r="P104" s="343"/>
      <c r="Q104" s="343"/>
      <c r="R104" s="343"/>
      <c r="S104" s="343"/>
      <c r="T104" s="343"/>
      <c r="U104" s="343"/>
      <c r="V104" s="343"/>
      <c r="W104" s="343"/>
    </row>
    <row r="105" spans="3:23" x14ac:dyDescent="0.3">
      <c r="C105" s="343"/>
      <c r="D105" s="343"/>
      <c r="E105" s="343"/>
      <c r="F105" s="343"/>
      <c r="G105" s="343"/>
      <c r="H105" s="343"/>
      <c r="I105" s="343"/>
      <c r="J105" s="343"/>
      <c r="K105" s="343"/>
      <c r="L105" s="343"/>
      <c r="M105" s="343"/>
      <c r="N105" s="343"/>
      <c r="O105" s="343"/>
      <c r="P105" s="343"/>
      <c r="Q105" s="343"/>
      <c r="R105" s="343"/>
      <c r="S105" s="343"/>
      <c r="T105" s="343"/>
      <c r="U105" s="343"/>
      <c r="V105" s="343"/>
      <c r="W105" s="343"/>
    </row>
    <row r="111" spans="3:23" x14ac:dyDescent="0.3">
      <c r="C111" s="172" t="s">
        <v>241</v>
      </c>
    </row>
    <row r="112" spans="3:23" x14ac:dyDescent="0.3">
      <c r="C112" s="172" t="s">
        <v>242</v>
      </c>
    </row>
    <row r="114" spans="3:52" x14ac:dyDescent="0.3">
      <c r="C114" s="172" t="s">
        <v>243</v>
      </c>
      <c r="AF114" s="343" t="s">
        <v>246</v>
      </c>
      <c r="AG114" s="343"/>
      <c r="AH114" s="343"/>
      <c r="AI114" s="343"/>
      <c r="AJ114" s="343"/>
      <c r="AK114" s="343"/>
      <c r="AL114" s="343"/>
      <c r="AM114" s="343"/>
      <c r="AN114" s="343"/>
      <c r="AO114" s="343"/>
      <c r="AP114" s="343"/>
      <c r="AQ114" s="343"/>
      <c r="AR114" s="343"/>
      <c r="AS114" s="343"/>
      <c r="AT114" s="343"/>
      <c r="AU114" s="343"/>
      <c r="AV114" s="343"/>
      <c r="AW114" s="343"/>
      <c r="AX114" s="343"/>
      <c r="AY114" s="343"/>
      <c r="AZ114" s="343"/>
    </row>
    <row r="115" spans="3:52" x14ac:dyDescent="0.3">
      <c r="C115" s="172" t="s">
        <v>244</v>
      </c>
      <c r="AF115" s="343"/>
      <c r="AG115" s="343"/>
      <c r="AH115" s="343"/>
      <c r="AI115" s="343"/>
      <c r="AJ115" s="343"/>
      <c r="AK115" s="343"/>
      <c r="AL115" s="343"/>
      <c r="AM115" s="343"/>
      <c r="AN115" s="343"/>
      <c r="AO115" s="343"/>
      <c r="AP115" s="343"/>
      <c r="AQ115" s="343"/>
      <c r="AR115" s="343"/>
      <c r="AS115" s="343"/>
      <c r="AT115" s="343"/>
      <c r="AU115" s="343"/>
      <c r="AV115" s="343"/>
      <c r="AW115" s="343"/>
      <c r="AX115" s="343"/>
      <c r="AY115" s="343"/>
      <c r="AZ115" s="343"/>
    </row>
    <row r="116" spans="3:52" x14ac:dyDescent="0.3">
      <c r="AF116" s="172" t="s">
        <v>252</v>
      </c>
    </row>
    <row r="117" spans="3:52" x14ac:dyDescent="0.3">
      <c r="AF117" s="172" t="s">
        <v>251</v>
      </c>
    </row>
    <row r="121" spans="3:52" x14ac:dyDescent="0.3">
      <c r="V121" s="343" t="s">
        <v>247</v>
      </c>
      <c r="W121" s="343"/>
      <c r="X121" s="343"/>
      <c r="Y121" s="343"/>
      <c r="Z121" s="343"/>
      <c r="AA121" s="343"/>
      <c r="AB121" s="343"/>
      <c r="AC121" s="343"/>
      <c r="AD121" s="343"/>
      <c r="AE121" s="343"/>
      <c r="AF121" s="343"/>
      <c r="AG121" s="343"/>
      <c r="AH121" s="343"/>
      <c r="AI121" s="343"/>
      <c r="AJ121" s="343"/>
      <c r="AK121" s="343"/>
      <c r="AL121" s="343"/>
      <c r="AM121" s="343"/>
      <c r="AN121" s="343"/>
      <c r="AO121" s="343"/>
      <c r="AP121" s="343"/>
    </row>
    <row r="122" spans="3:52" x14ac:dyDescent="0.3">
      <c r="V122" s="343"/>
      <c r="W122" s="343"/>
      <c r="X122" s="343"/>
      <c r="Y122" s="343"/>
      <c r="Z122" s="343"/>
      <c r="AA122" s="343"/>
      <c r="AB122" s="343"/>
      <c r="AC122" s="343"/>
      <c r="AD122" s="343"/>
      <c r="AE122" s="343"/>
      <c r="AF122" s="343"/>
      <c r="AG122" s="343"/>
      <c r="AH122" s="343"/>
      <c r="AI122" s="343"/>
      <c r="AJ122" s="343"/>
      <c r="AK122" s="343"/>
      <c r="AL122" s="343"/>
      <c r="AM122" s="343"/>
      <c r="AN122" s="343"/>
      <c r="AO122" s="343"/>
      <c r="AP122" s="343"/>
    </row>
    <row r="123" spans="3:52" x14ac:dyDescent="0.3">
      <c r="S123" s="172" t="s">
        <v>248</v>
      </c>
    </row>
    <row r="124" spans="3:52" x14ac:dyDescent="0.3">
      <c r="S124" s="172" t="s">
        <v>249</v>
      </c>
    </row>
    <row r="126" spans="3:52" x14ac:dyDescent="0.3">
      <c r="S126" s="172" t="s">
        <v>250</v>
      </c>
    </row>
    <row r="130" spans="4:26" x14ac:dyDescent="0.3">
      <c r="F130" s="343" t="s">
        <v>253</v>
      </c>
      <c r="G130" s="343"/>
      <c r="H130" s="343"/>
      <c r="I130" s="343"/>
      <c r="J130" s="343"/>
      <c r="K130" s="343"/>
      <c r="L130" s="343"/>
      <c r="M130" s="343"/>
      <c r="N130" s="343"/>
      <c r="O130" s="343"/>
      <c r="P130" s="343"/>
      <c r="Q130" s="343"/>
      <c r="R130" s="343"/>
      <c r="S130" s="343"/>
      <c r="T130" s="343"/>
      <c r="U130" s="343"/>
      <c r="V130" s="343"/>
      <c r="W130" s="343"/>
      <c r="X130" s="343"/>
      <c r="Y130" s="343"/>
      <c r="Z130" s="343"/>
    </row>
    <row r="131" spans="4:26" x14ac:dyDescent="0.3">
      <c r="F131" s="343"/>
      <c r="G131" s="343"/>
      <c r="H131" s="343"/>
      <c r="I131" s="343"/>
      <c r="J131" s="343"/>
      <c r="K131" s="343"/>
      <c r="L131" s="343"/>
      <c r="M131" s="343"/>
      <c r="N131" s="343"/>
      <c r="O131" s="343"/>
      <c r="P131" s="343"/>
      <c r="Q131" s="343"/>
      <c r="R131" s="343"/>
      <c r="S131" s="343"/>
      <c r="T131" s="343"/>
      <c r="U131" s="343"/>
      <c r="V131" s="343"/>
      <c r="W131" s="343"/>
      <c r="X131" s="343"/>
      <c r="Y131" s="343"/>
      <c r="Z131" s="343"/>
    </row>
    <row r="132" spans="4:26" x14ac:dyDescent="0.3">
      <c r="F132" s="172" t="s">
        <v>254</v>
      </c>
    </row>
    <row r="133" spans="4:26" x14ac:dyDescent="0.3">
      <c r="F133" s="172" t="s">
        <v>255</v>
      </c>
    </row>
    <row r="143" spans="4:26" x14ac:dyDescent="0.3">
      <c r="D143" s="343" t="s">
        <v>256</v>
      </c>
      <c r="E143" s="343"/>
      <c r="F143" s="343"/>
      <c r="G143" s="343"/>
      <c r="H143" s="343"/>
      <c r="I143" s="343"/>
      <c r="J143" s="343"/>
      <c r="K143" s="343"/>
      <c r="L143" s="343"/>
      <c r="M143" s="343"/>
      <c r="N143" s="343"/>
      <c r="O143" s="343"/>
      <c r="P143" s="343"/>
      <c r="Q143" s="343"/>
      <c r="R143" s="343"/>
      <c r="S143" s="343"/>
      <c r="T143" s="343"/>
      <c r="U143" s="343"/>
      <c r="V143" s="343"/>
      <c r="W143" s="343"/>
      <c r="X143" s="343"/>
    </row>
    <row r="144" spans="4:26" x14ac:dyDescent="0.3">
      <c r="D144" s="343"/>
      <c r="E144" s="343"/>
      <c r="F144" s="343"/>
      <c r="G144" s="343"/>
      <c r="H144" s="343"/>
      <c r="I144" s="343"/>
      <c r="J144" s="343"/>
      <c r="K144" s="343"/>
      <c r="L144" s="343"/>
      <c r="M144" s="343"/>
      <c r="N144" s="343"/>
      <c r="O144" s="343"/>
      <c r="P144" s="343"/>
      <c r="Q144" s="343"/>
      <c r="R144" s="343"/>
      <c r="S144" s="343"/>
      <c r="T144" s="343"/>
      <c r="U144" s="343"/>
      <c r="V144" s="343"/>
      <c r="W144" s="343"/>
      <c r="X144" s="343"/>
    </row>
    <row r="145" spans="4:24" x14ac:dyDescent="0.3">
      <c r="D145" s="172" t="s">
        <v>257</v>
      </c>
    </row>
    <row r="146" spans="4:24" x14ac:dyDescent="0.3">
      <c r="D146" s="172" t="s">
        <v>258</v>
      </c>
    </row>
    <row r="148" spans="4:24" x14ac:dyDescent="0.3">
      <c r="D148" s="172" t="s">
        <v>259</v>
      </c>
    </row>
    <row r="149" spans="4:24" x14ac:dyDescent="0.3">
      <c r="D149" s="172" t="s">
        <v>260</v>
      </c>
    </row>
    <row r="152" spans="4:24" x14ac:dyDescent="0.3">
      <c r="D152" s="343" t="s">
        <v>261</v>
      </c>
      <c r="E152" s="343"/>
      <c r="F152" s="343"/>
      <c r="G152" s="343"/>
      <c r="H152" s="343"/>
      <c r="I152" s="343"/>
      <c r="J152" s="343"/>
      <c r="K152" s="343"/>
      <c r="L152" s="343"/>
      <c r="M152" s="343"/>
      <c r="N152" s="343"/>
      <c r="O152" s="343"/>
      <c r="P152" s="343"/>
      <c r="Q152" s="343"/>
      <c r="R152" s="343"/>
      <c r="S152" s="343"/>
      <c r="T152" s="343"/>
      <c r="U152" s="343"/>
      <c r="V152" s="343"/>
      <c r="W152" s="343"/>
      <c r="X152" s="343"/>
    </row>
    <row r="153" spans="4:24" x14ac:dyDescent="0.3">
      <c r="D153" s="343"/>
      <c r="E153" s="343"/>
      <c r="F153" s="343"/>
      <c r="G153" s="343"/>
      <c r="H153" s="343"/>
      <c r="I153" s="343"/>
      <c r="J153" s="343"/>
      <c r="K153" s="343"/>
      <c r="L153" s="343"/>
      <c r="M153" s="343"/>
      <c r="N153" s="343"/>
      <c r="O153" s="343"/>
      <c r="P153" s="343"/>
      <c r="Q153" s="343"/>
      <c r="R153" s="343"/>
      <c r="S153" s="343"/>
      <c r="T153" s="343"/>
      <c r="U153" s="343"/>
      <c r="V153" s="343"/>
      <c r="W153" s="343"/>
      <c r="X153" s="343"/>
    </row>
    <row r="154" spans="4:24" x14ac:dyDescent="0.3">
      <c r="G154" s="172" t="s">
        <v>262</v>
      </c>
    </row>
  </sheetData>
  <mergeCells count="15">
    <mergeCell ref="D152:X153"/>
    <mergeCell ref="C84:Q85"/>
    <mergeCell ref="AE93:AY94"/>
    <mergeCell ref="C104:W105"/>
    <mergeCell ref="AF114:AZ115"/>
    <mergeCell ref="AL16:BD17"/>
    <mergeCell ref="H16:V17"/>
    <mergeCell ref="V121:AP122"/>
    <mergeCell ref="F130:Z131"/>
    <mergeCell ref="D143:X144"/>
    <mergeCell ref="B13:J14"/>
    <mergeCell ref="B71:P72"/>
    <mergeCell ref="B49:N50"/>
    <mergeCell ref="B41:O42"/>
    <mergeCell ref="B29:O30"/>
  </mergeCells>
  <hyperlinks>
    <hyperlink ref="AV13" location="FAQs!A1" tooltip="Frequently Asked Questions (FAQs)" display="FAQs" xr:uid="{00000000-0004-0000-0400-000000000000}"/>
    <hyperlink ref="AH14" r:id="rId1" xr:uid="{00000000-0004-0000-0400-000001000000}"/>
  </hyperlinks>
  <pageMargins left="0.7" right="0.7" top="0.75" bottom="0.75" header="0.3" footer="0.3"/>
  <pageSetup orientation="portrait" horizontalDpi="4294967295" verticalDpi="4294967295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1"/>
    <outlinePr summaryBelow="0" summaryRight="0"/>
  </sheetPr>
  <dimension ref="B2:AD175"/>
  <sheetViews>
    <sheetView showGridLines="0" showRowColHeaders="0" workbookViewId="0">
      <pane ySplit="2" topLeftCell="A32" activePane="bottomLeft" state="frozenSplit"/>
      <selection pane="bottomLeft" activeCell="H42" sqref="H42"/>
    </sheetView>
  </sheetViews>
  <sheetFormatPr defaultColWidth="3.77734375" defaultRowHeight="14.4" x14ac:dyDescent="0.3"/>
  <cols>
    <col min="1" max="1" width="2.77734375" customWidth="1"/>
    <col min="2" max="2" width="4.44140625" bestFit="1" customWidth="1"/>
  </cols>
  <sheetData>
    <row r="2" spans="2:4" ht="28.8" x14ac:dyDescent="0.3">
      <c r="B2" s="171" t="str">
        <f>TEMPLATE_NAME&amp;" "&amp;TEMPLATE_VER&amp;" - FAQs"</f>
        <v>AG Estimation Template -  Version 2.0.4 - FAQs</v>
      </c>
    </row>
    <row r="4" spans="2:4" ht="18" x14ac:dyDescent="0.35">
      <c r="B4" s="233" t="s">
        <v>409</v>
      </c>
    </row>
    <row r="6" spans="2:4" s="229" customFormat="1" ht="21" x14ac:dyDescent="0.4">
      <c r="B6" s="228">
        <v>1</v>
      </c>
      <c r="C6" s="228" t="s">
        <v>421</v>
      </c>
    </row>
    <row r="7" spans="2:4" x14ac:dyDescent="0.3">
      <c r="D7" t="s">
        <v>422</v>
      </c>
    </row>
    <row r="8" spans="2:4" x14ac:dyDescent="0.3">
      <c r="D8" t="s">
        <v>423</v>
      </c>
    </row>
    <row r="10" spans="2:4" s="229" customFormat="1" ht="21" x14ac:dyDescent="0.4">
      <c r="B10" s="228">
        <v>2</v>
      </c>
      <c r="C10" s="228" t="s">
        <v>264</v>
      </c>
    </row>
    <row r="11" spans="2:4" x14ac:dyDescent="0.3">
      <c r="D11" t="s">
        <v>437</v>
      </c>
    </row>
    <row r="12" spans="2:4" x14ac:dyDescent="0.3">
      <c r="D12" t="s">
        <v>438</v>
      </c>
    </row>
    <row r="14" spans="2:4" s="229" customFormat="1" ht="21" x14ac:dyDescent="0.4">
      <c r="B14" s="228">
        <v>3</v>
      </c>
      <c r="C14" s="228" t="s">
        <v>265</v>
      </c>
    </row>
    <row r="15" spans="2:4" x14ac:dyDescent="0.3">
      <c r="D15" t="s">
        <v>439</v>
      </c>
    </row>
    <row r="17" spans="2:4" s="229" customFormat="1" ht="21" x14ac:dyDescent="0.4">
      <c r="B17" s="228">
        <v>4</v>
      </c>
      <c r="C17" s="228" t="s">
        <v>266</v>
      </c>
    </row>
    <row r="18" spans="2:4" x14ac:dyDescent="0.3">
      <c r="D18" t="s">
        <v>267</v>
      </c>
    </row>
    <row r="19" spans="2:4" x14ac:dyDescent="0.3">
      <c r="D19" t="s">
        <v>268</v>
      </c>
    </row>
    <row r="20" spans="2:4" x14ac:dyDescent="0.3">
      <c r="D20" t="s">
        <v>269</v>
      </c>
    </row>
    <row r="22" spans="2:4" s="229" customFormat="1" ht="21" x14ac:dyDescent="0.4">
      <c r="B22" s="228">
        <v>5</v>
      </c>
      <c r="C22" s="228" t="s">
        <v>270</v>
      </c>
    </row>
    <row r="23" spans="2:4" x14ac:dyDescent="0.3">
      <c r="D23" t="s">
        <v>271</v>
      </c>
    </row>
    <row r="24" spans="2:4" x14ac:dyDescent="0.3">
      <c r="D24" t="s">
        <v>440</v>
      </c>
    </row>
    <row r="25" spans="2:4" x14ac:dyDescent="0.3">
      <c r="D25" t="s">
        <v>272</v>
      </c>
    </row>
    <row r="27" spans="2:4" s="229" customFormat="1" ht="21" x14ac:dyDescent="0.4">
      <c r="B27" s="228">
        <v>6</v>
      </c>
      <c r="C27" s="228" t="s">
        <v>273</v>
      </c>
    </row>
    <row r="28" spans="2:4" x14ac:dyDescent="0.3">
      <c r="D28" t="s">
        <v>274</v>
      </c>
    </row>
    <row r="30" spans="2:4" s="229" customFormat="1" ht="21" x14ac:dyDescent="0.4">
      <c r="B30" s="228">
        <v>7</v>
      </c>
      <c r="C30" s="228" t="s">
        <v>277</v>
      </c>
    </row>
    <row r="31" spans="2:4" x14ac:dyDescent="0.3">
      <c r="D31" t="s">
        <v>278</v>
      </c>
    </row>
    <row r="33" spans="2:9" s="229" customFormat="1" ht="21" x14ac:dyDescent="0.4">
      <c r="B33" s="228">
        <v>8</v>
      </c>
      <c r="C33" s="228" t="s">
        <v>282</v>
      </c>
    </row>
    <row r="34" spans="2:9" x14ac:dyDescent="0.3">
      <c r="D34" t="s">
        <v>283</v>
      </c>
    </row>
    <row r="35" spans="2:9" x14ac:dyDescent="0.3">
      <c r="D35" t="s">
        <v>284</v>
      </c>
    </row>
    <row r="37" spans="2:9" s="229" customFormat="1" ht="21" x14ac:dyDescent="0.4">
      <c r="B37" s="228">
        <v>9</v>
      </c>
      <c r="C37" s="228" t="s">
        <v>279</v>
      </c>
    </row>
    <row r="38" spans="2:9" x14ac:dyDescent="0.3">
      <c r="D38" t="s">
        <v>280</v>
      </c>
    </row>
    <row r="39" spans="2:9" x14ac:dyDescent="0.3">
      <c r="F39" s="220" t="s">
        <v>281</v>
      </c>
      <c r="G39" t="s">
        <v>286</v>
      </c>
    </row>
    <row r="40" spans="2:9" x14ac:dyDescent="0.3">
      <c r="F40" s="220" t="s">
        <v>285</v>
      </c>
      <c r="G40" t="s">
        <v>287</v>
      </c>
    </row>
    <row r="41" spans="2:9" x14ac:dyDescent="0.3">
      <c r="F41" s="220" t="s">
        <v>288</v>
      </c>
      <c r="G41" t="s">
        <v>289</v>
      </c>
    </row>
    <row r="42" spans="2:9" x14ac:dyDescent="0.3">
      <c r="F42" s="220" t="s">
        <v>290</v>
      </c>
      <c r="G42" t="s">
        <v>291</v>
      </c>
    </row>
    <row r="43" spans="2:9" x14ac:dyDescent="0.3">
      <c r="G43" s="220" t="s">
        <v>292</v>
      </c>
      <c r="H43" t="s">
        <v>294</v>
      </c>
    </row>
    <row r="44" spans="2:9" x14ac:dyDescent="0.3">
      <c r="G44" s="220" t="s">
        <v>293</v>
      </c>
      <c r="H44" t="s">
        <v>295</v>
      </c>
    </row>
    <row r="45" spans="2:9" x14ac:dyDescent="0.3">
      <c r="G45" s="1" t="s">
        <v>296</v>
      </c>
      <c r="H45" t="s">
        <v>297</v>
      </c>
    </row>
    <row r="46" spans="2:9" x14ac:dyDescent="0.3">
      <c r="I46" t="s">
        <v>298</v>
      </c>
    </row>
    <row r="47" spans="2:9" x14ac:dyDescent="0.3">
      <c r="G47" s="220" t="s">
        <v>299</v>
      </c>
      <c r="H47" t="s">
        <v>300</v>
      </c>
    </row>
    <row r="48" spans="2:9" x14ac:dyDescent="0.3">
      <c r="I48" t="s">
        <v>301</v>
      </c>
    </row>
    <row r="49" spans="2:20" x14ac:dyDescent="0.3">
      <c r="G49" s="220" t="s">
        <v>302</v>
      </c>
      <c r="H49" t="s">
        <v>303</v>
      </c>
    </row>
    <row r="50" spans="2:20" x14ac:dyDescent="0.3">
      <c r="D50" s="344" t="s">
        <v>446</v>
      </c>
      <c r="E50" s="344"/>
      <c r="F50" s="344"/>
      <c r="G50" s="344"/>
      <c r="H50" t="s">
        <v>447</v>
      </c>
    </row>
    <row r="51" spans="2:20" x14ac:dyDescent="0.3">
      <c r="D51" s="344"/>
      <c r="E51" s="344"/>
      <c r="F51" s="344"/>
      <c r="G51" s="344"/>
    </row>
    <row r="52" spans="2:20" x14ac:dyDescent="0.3">
      <c r="D52" s="344"/>
      <c r="E52" s="344"/>
      <c r="F52" s="344"/>
      <c r="G52" s="344"/>
    </row>
    <row r="54" spans="2:20" s="229" customFormat="1" ht="21" x14ac:dyDescent="0.4">
      <c r="B54" s="228">
        <v>10</v>
      </c>
      <c r="C54" s="228" t="s">
        <v>304</v>
      </c>
    </row>
    <row r="55" spans="2:20" x14ac:dyDescent="0.3">
      <c r="D55" t="s">
        <v>305</v>
      </c>
    </row>
    <row r="56" spans="2:20" x14ac:dyDescent="0.3">
      <c r="D56" t="s">
        <v>306</v>
      </c>
    </row>
    <row r="57" spans="2:20" x14ac:dyDescent="0.3">
      <c r="F57" s="220" t="s">
        <v>307</v>
      </c>
      <c r="G57" t="s">
        <v>308</v>
      </c>
    </row>
    <row r="58" spans="2:20" x14ac:dyDescent="0.3">
      <c r="H58" t="s">
        <v>309</v>
      </c>
    </row>
    <row r="59" spans="2:20" x14ac:dyDescent="0.3">
      <c r="I59" t="s">
        <v>311</v>
      </c>
      <c r="N59" t="s">
        <v>310</v>
      </c>
    </row>
    <row r="60" spans="2:20" x14ac:dyDescent="0.3">
      <c r="I60" t="s">
        <v>312</v>
      </c>
      <c r="N60" t="s">
        <v>313</v>
      </c>
      <c r="T60" t="s">
        <v>321</v>
      </c>
    </row>
    <row r="61" spans="2:20" x14ac:dyDescent="0.3">
      <c r="I61" t="s">
        <v>314</v>
      </c>
      <c r="N61" t="s">
        <v>315</v>
      </c>
      <c r="T61" t="s">
        <v>321</v>
      </c>
    </row>
    <row r="62" spans="2:20" x14ac:dyDescent="0.3">
      <c r="N62" t="s">
        <v>316</v>
      </c>
    </row>
    <row r="63" spans="2:20" x14ac:dyDescent="0.3">
      <c r="F63" s="220" t="s">
        <v>317</v>
      </c>
      <c r="G63" t="s">
        <v>318</v>
      </c>
    </row>
    <row r="64" spans="2:20" x14ac:dyDescent="0.3">
      <c r="F64" s="220" t="s">
        <v>322</v>
      </c>
      <c r="G64" t="s">
        <v>323</v>
      </c>
    </row>
    <row r="65" spans="2:30" x14ac:dyDescent="0.3">
      <c r="H65" t="s">
        <v>324</v>
      </c>
    </row>
    <row r="66" spans="2:30" x14ac:dyDescent="0.3">
      <c r="I66" t="s">
        <v>325</v>
      </c>
    </row>
    <row r="67" spans="2:30" x14ac:dyDescent="0.3">
      <c r="G67" t="s">
        <v>326</v>
      </c>
    </row>
    <row r="68" spans="2:30" x14ac:dyDescent="0.3">
      <c r="F68" s="220" t="s">
        <v>319</v>
      </c>
      <c r="G68" t="s">
        <v>320</v>
      </c>
      <c r="AD68" t="s">
        <v>321</v>
      </c>
    </row>
    <row r="69" spans="2:30" x14ac:dyDescent="0.3">
      <c r="H69" t="s">
        <v>342</v>
      </c>
    </row>
    <row r="71" spans="2:30" s="229" customFormat="1" ht="21" x14ac:dyDescent="0.4">
      <c r="B71" s="228">
        <v>11</v>
      </c>
      <c r="C71" s="228" t="s">
        <v>327</v>
      </c>
    </row>
    <row r="72" spans="2:30" x14ac:dyDescent="0.3">
      <c r="D72" t="s">
        <v>328</v>
      </c>
    </row>
    <row r="73" spans="2:30" x14ac:dyDescent="0.3">
      <c r="D73" t="s">
        <v>329</v>
      </c>
    </row>
    <row r="74" spans="2:30" x14ac:dyDescent="0.3">
      <c r="D74" t="s">
        <v>330</v>
      </c>
    </row>
    <row r="76" spans="2:30" s="229" customFormat="1" ht="21" x14ac:dyDescent="0.4">
      <c r="B76" s="228">
        <v>12</v>
      </c>
      <c r="C76" s="228" t="s">
        <v>331</v>
      </c>
    </row>
    <row r="77" spans="2:30" x14ac:dyDescent="0.3">
      <c r="D77" t="s">
        <v>332</v>
      </c>
    </row>
    <row r="78" spans="2:30" x14ac:dyDescent="0.3">
      <c r="D78" t="s">
        <v>333</v>
      </c>
    </row>
    <row r="79" spans="2:30" x14ac:dyDescent="0.3">
      <c r="E79" s="220" t="s">
        <v>334</v>
      </c>
      <c r="F79" t="s">
        <v>338</v>
      </c>
    </row>
    <row r="80" spans="2:30" x14ac:dyDescent="0.3">
      <c r="G80" t="s">
        <v>344</v>
      </c>
    </row>
    <row r="81" spans="2:7" x14ac:dyDescent="0.3">
      <c r="G81" t="s">
        <v>339</v>
      </c>
    </row>
    <row r="82" spans="2:7" x14ac:dyDescent="0.3">
      <c r="E82" s="220" t="s">
        <v>340</v>
      </c>
      <c r="F82" t="s">
        <v>341</v>
      </c>
    </row>
    <row r="83" spans="2:7" x14ac:dyDescent="0.3">
      <c r="G83" t="s">
        <v>343</v>
      </c>
    </row>
    <row r="85" spans="2:7" s="229" customFormat="1" ht="21" x14ac:dyDescent="0.4">
      <c r="B85" s="228">
        <v>13</v>
      </c>
      <c r="C85" s="228" t="s">
        <v>345</v>
      </c>
    </row>
    <row r="86" spans="2:7" x14ac:dyDescent="0.3">
      <c r="D86" t="s">
        <v>346</v>
      </c>
    </row>
    <row r="87" spans="2:7" x14ac:dyDescent="0.3">
      <c r="E87" s="220" t="s">
        <v>347</v>
      </c>
      <c r="F87" t="s">
        <v>350</v>
      </c>
    </row>
    <row r="88" spans="2:7" x14ac:dyDescent="0.3">
      <c r="E88" s="220"/>
      <c r="F88" t="s">
        <v>351</v>
      </c>
    </row>
    <row r="89" spans="2:7" x14ac:dyDescent="0.3">
      <c r="E89" s="220"/>
      <c r="F89" t="s">
        <v>352</v>
      </c>
    </row>
    <row r="90" spans="2:7" x14ac:dyDescent="0.3">
      <c r="E90" s="220"/>
      <c r="F90" t="s">
        <v>353</v>
      </c>
    </row>
    <row r="91" spans="2:7" x14ac:dyDescent="0.3">
      <c r="E91" s="220"/>
      <c r="F91" t="s">
        <v>354</v>
      </c>
    </row>
    <row r="92" spans="2:7" x14ac:dyDescent="0.3">
      <c r="E92" s="220" t="s">
        <v>348</v>
      </c>
      <c r="F92" t="s">
        <v>355</v>
      </c>
    </row>
    <row r="93" spans="2:7" x14ac:dyDescent="0.3">
      <c r="E93" s="220"/>
      <c r="F93" t="s">
        <v>356</v>
      </c>
    </row>
    <row r="94" spans="2:7" x14ac:dyDescent="0.3">
      <c r="E94" s="220" t="s">
        <v>349</v>
      </c>
      <c r="F94" t="s">
        <v>357</v>
      </c>
    </row>
    <row r="96" spans="2:7" s="229" customFormat="1" ht="21" x14ac:dyDescent="0.4">
      <c r="B96" s="228">
        <v>14</v>
      </c>
      <c r="C96" s="228" t="s">
        <v>417</v>
      </c>
    </row>
    <row r="97" spans="2:6" x14ac:dyDescent="0.3">
      <c r="D97" t="s">
        <v>358</v>
      </c>
    </row>
    <row r="98" spans="2:6" x14ac:dyDescent="0.3">
      <c r="E98" s="220" t="s">
        <v>359</v>
      </c>
      <c r="F98" t="s">
        <v>366</v>
      </c>
    </row>
    <row r="99" spans="2:6" x14ac:dyDescent="0.3">
      <c r="E99" s="220" t="s">
        <v>360</v>
      </c>
      <c r="F99" t="s">
        <v>367</v>
      </c>
    </row>
    <row r="100" spans="2:6" x14ac:dyDescent="0.3">
      <c r="E100" s="220" t="s">
        <v>361</v>
      </c>
      <c r="F100" t="s">
        <v>365</v>
      </c>
    </row>
    <row r="101" spans="2:6" x14ac:dyDescent="0.3">
      <c r="E101" s="220" t="s">
        <v>362</v>
      </c>
      <c r="F101" t="s">
        <v>364</v>
      </c>
    </row>
    <row r="102" spans="2:6" x14ac:dyDescent="0.3">
      <c r="E102" s="220" t="s">
        <v>363</v>
      </c>
      <c r="F102" t="s">
        <v>368</v>
      </c>
    </row>
    <row r="104" spans="2:6" s="229" customFormat="1" ht="21" x14ac:dyDescent="0.4">
      <c r="B104" s="228">
        <v>15</v>
      </c>
      <c r="C104" s="228" t="s">
        <v>335</v>
      </c>
    </row>
    <row r="105" spans="2:6" x14ac:dyDescent="0.3">
      <c r="D105" t="s">
        <v>336</v>
      </c>
    </row>
    <row r="106" spans="2:6" x14ac:dyDescent="0.3">
      <c r="D106" t="s">
        <v>337</v>
      </c>
    </row>
    <row r="108" spans="2:6" s="229" customFormat="1" ht="21" x14ac:dyDescent="0.4">
      <c r="B108" s="228">
        <v>16</v>
      </c>
      <c r="C108" s="228" t="s">
        <v>369</v>
      </c>
    </row>
    <row r="109" spans="2:6" x14ac:dyDescent="0.3">
      <c r="D109" t="s">
        <v>370</v>
      </c>
    </row>
    <row r="110" spans="2:6" x14ac:dyDescent="0.3">
      <c r="D110" t="s">
        <v>371</v>
      </c>
    </row>
    <row r="111" spans="2:6" x14ac:dyDescent="0.3">
      <c r="D111" t="s">
        <v>372</v>
      </c>
    </row>
    <row r="114" spans="2:6" ht="18" x14ac:dyDescent="0.35">
      <c r="B114" s="233" t="s">
        <v>410</v>
      </c>
    </row>
    <row r="116" spans="2:6" s="229" customFormat="1" ht="21" x14ac:dyDescent="0.4">
      <c r="B116" s="227">
        <v>17</v>
      </c>
      <c r="C116" s="227" t="s">
        <v>389</v>
      </c>
    </row>
    <row r="117" spans="2:6" x14ac:dyDescent="0.3">
      <c r="D117" t="s">
        <v>396</v>
      </c>
    </row>
    <row r="118" spans="2:6" x14ac:dyDescent="0.3">
      <c r="E118" t="s">
        <v>397</v>
      </c>
    </row>
    <row r="119" spans="2:6" x14ac:dyDescent="0.3">
      <c r="E119" t="s">
        <v>398</v>
      </c>
    </row>
    <row r="120" spans="2:6" x14ac:dyDescent="0.3">
      <c r="E120" t="s">
        <v>400</v>
      </c>
    </row>
    <row r="121" spans="2:6" s="231" customFormat="1" x14ac:dyDescent="0.3">
      <c r="F121" s="232" t="s">
        <v>399</v>
      </c>
    </row>
    <row r="122" spans="2:6" s="231" customFormat="1" x14ac:dyDescent="0.3">
      <c r="F122" s="232"/>
    </row>
    <row r="123" spans="2:6" s="231" customFormat="1" x14ac:dyDescent="0.3">
      <c r="E123" s="232" t="s">
        <v>401</v>
      </c>
      <c r="F123" s="232"/>
    </row>
    <row r="124" spans="2:6" s="231" customFormat="1" x14ac:dyDescent="0.3">
      <c r="F124" s="232" t="s">
        <v>402</v>
      </c>
    </row>
    <row r="125" spans="2:6" s="231" customFormat="1" x14ac:dyDescent="0.3">
      <c r="F125" s="232" t="s">
        <v>403</v>
      </c>
    </row>
    <row r="126" spans="2:6" x14ac:dyDescent="0.3">
      <c r="F126" s="232" t="s">
        <v>404</v>
      </c>
    </row>
    <row r="127" spans="2:6" x14ac:dyDescent="0.3">
      <c r="F127" s="232"/>
    </row>
    <row r="128" spans="2:6" s="229" customFormat="1" ht="21" x14ac:dyDescent="0.4">
      <c r="B128" s="227">
        <v>18</v>
      </c>
      <c r="C128" s="227" t="s">
        <v>390</v>
      </c>
    </row>
    <row r="129" spans="2:4" x14ac:dyDescent="0.3">
      <c r="D129" t="s">
        <v>405</v>
      </c>
    </row>
    <row r="130" spans="2:4" x14ac:dyDescent="0.3">
      <c r="D130" t="s">
        <v>406</v>
      </c>
    </row>
    <row r="131" spans="2:4" x14ac:dyDescent="0.3">
      <c r="D131" t="s">
        <v>407</v>
      </c>
    </row>
    <row r="132" spans="2:4" x14ac:dyDescent="0.3">
      <c r="D132" t="s">
        <v>408</v>
      </c>
    </row>
    <row r="134" spans="2:4" s="229" customFormat="1" ht="21" x14ac:dyDescent="0.4">
      <c r="B134" s="227">
        <v>19</v>
      </c>
      <c r="C134" s="227" t="s">
        <v>392</v>
      </c>
    </row>
    <row r="135" spans="2:4" x14ac:dyDescent="0.3">
      <c r="D135" t="s">
        <v>393</v>
      </c>
    </row>
    <row r="137" spans="2:4" s="229" customFormat="1" ht="21" x14ac:dyDescent="0.4">
      <c r="B137" s="227">
        <v>20</v>
      </c>
      <c r="C137" s="227" t="s">
        <v>394</v>
      </c>
    </row>
    <row r="138" spans="2:4" x14ac:dyDescent="0.3">
      <c r="D138" t="s">
        <v>395</v>
      </c>
    </row>
    <row r="140" spans="2:4" s="229" customFormat="1" ht="21" x14ac:dyDescent="0.4">
      <c r="B140" s="227">
        <v>21</v>
      </c>
      <c r="C140" s="227" t="s">
        <v>379</v>
      </c>
    </row>
    <row r="141" spans="2:4" x14ac:dyDescent="0.3">
      <c r="D141" t="s">
        <v>373</v>
      </c>
    </row>
    <row r="142" spans="2:4" x14ac:dyDescent="0.3">
      <c r="D142" t="s">
        <v>374</v>
      </c>
    </row>
    <row r="144" spans="2:4" s="229" customFormat="1" ht="21" x14ac:dyDescent="0.4">
      <c r="B144" s="227">
        <v>22</v>
      </c>
      <c r="C144" s="227" t="s">
        <v>380</v>
      </c>
    </row>
    <row r="145" spans="2:4" x14ac:dyDescent="0.3">
      <c r="D145" t="s">
        <v>375</v>
      </c>
    </row>
    <row r="146" spans="2:4" x14ac:dyDescent="0.3">
      <c r="D146" t="s">
        <v>376</v>
      </c>
    </row>
    <row r="147" spans="2:4" x14ac:dyDescent="0.3">
      <c r="D147" t="s">
        <v>377</v>
      </c>
    </row>
    <row r="148" spans="2:4" x14ac:dyDescent="0.3">
      <c r="D148" t="s">
        <v>378</v>
      </c>
    </row>
    <row r="151" spans="2:4" ht="18" x14ac:dyDescent="0.35">
      <c r="B151" s="233" t="s">
        <v>411</v>
      </c>
    </row>
    <row r="153" spans="2:4" s="229" customFormat="1" ht="21" x14ac:dyDescent="0.4">
      <c r="B153" s="230">
        <v>23</v>
      </c>
      <c r="C153" s="230" t="s">
        <v>420</v>
      </c>
    </row>
    <row r="154" spans="2:4" x14ac:dyDescent="0.3">
      <c r="D154" t="s">
        <v>381</v>
      </c>
    </row>
    <row r="155" spans="2:4" x14ac:dyDescent="0.3">
      <c r="D155" t="s">
        <v>382</v>
      </c>
    </row>
    <row r="156" spans="2:4" x14ac:dyDescent="0.3">
      <c r="D156" t="s">
        <v>383</v>
      </c>
    </row>
    <row r="157" spans="2:4" x14ac:dyDescent="0.3">
      <c r="D157" t="s">
        <v>384</v>
      </c>
    </row>
    <row r="159" spans="2:4" s="229" customFormat="1" ht="21" x14ac:dyDescent="0.4">
      <c r="B159" s="230">
        <v>24</v>
      </c>
      <c r="C159" s="230" t="s">
        <v>418</v>
      </c>
    </row>
    <row r="160" spans="2:4" x14ac:dyDescent="0.3">
      <c r="D160" t="s">
        <v>412</v>
      </c>
    </row>
    <row r="161" spans="2:4" x14ac:dyDescent="0.3">
      <c r="D161" t="s">
        <v>413</v>
      </c>
    </row>
    <row r="162" spans="2:4" x14ac:dyDescent="0.3">
      <c r="D162" t="s">
        <v>414</v>
      </c>
    </row>
    <row r="163" spans="2:4" x14ac:dyDescent="0.3">
      <c r="D163" t="s">
        <v>415</v>
      </c>
    </row>
    <row r="165" spans="2:4" s="229" customFormat="1" ht="21" x14ac:dyDescent="0.4">
      <c r="B165" s="230">
        <v>25</v>
      </c>
      <c r="C165" s="230" t="s">
        <v>385</v>
      </c>
    </row>
    <row r="166" spans="2:4" x14ac:dyDescent="0.3">
      <c r="D166" t="s">
        <v>386</v>
      </c>
    </row>
    <row r="167" spans="2:4" x14ac:dyDescent="0.3">
      <c r="D167" t="s">
        <v>387</v>
      </c>
    </row>
    <row r="168" spans="2:4" x14ac:dyDescent="0.3">
      <c r="D168" t="s">
        <v>388</v>
      </c>
    </row>
    <row r="172" spans="2:4" ht="18" x14ac:dyDescent="0.35">
      <c r="B172" s="233" t="s">
        <v>416</v>
      </c>
    </row>
    <row r="174" spans="2:4" s="229" customFormat="1" ht="21" x14ac:dyDescent="0.4">
      <c r="B174" s="226">
        <v>26</v>
      </c>
      <c r="C174" s="226" t="s">
        <v>419</v>
      </c>
    </row>
    <row r="175" spans="2:4" x14ac:dyDescent="0.3">
      <c r="C175" t="s">
        <v>391</v>
      </c>
    </row>
  </sheetData>
  <mergeCells count="1">
    <mergeCell ref="D50:G52"/>
  </mergeCells>
  <pageMargins left="0.7" right="0.7" top="0.75" bottom="0.75" header="0.3" footer="0.3"/>
  <pageSetup orientation="portrait" horizontalDpi="4294967295" verticalDpi="4294967295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KeywordTaxHTField xmlns="a1360130-ace9-4116-92dd-ec756f4e397b">
      <Terms xmlns="http://schemas.microsoft.com/office/infopath/2007/PartnerControls"/>
    </TaxKeywordTaxHTField>
    <DocDescription xmlns="a1360130-ace9-4116-92dd-ec756f4e397b">Template provides advanced features to prepare rough and ballpark estimates for a given requirement, project or RFP. It also contains sample WBS task items.</DocDescription>
    <TaxCatchAll xmlns="a1360130-ace9-4116-92dd-ec756f4e397b"/>
    <People xmlns="a1360130-ace9-4116-92dd-ec756f4e397b">
      <UserInfo>
        <DisplayName/>
        <AccountId xsi:nil="true"/>
        <AccountType/>
      </UserInfo>
    </People>
    <DocumentVersion xmlns="a1360130-ace9-4116-92dd-ec756f4e397b" xsi:nil="true"/>
    <SVNLocation xmlns="a1360130-ace9-4116-92dd-ec756f4e397b" xsi:nil="true"/>
    <Links xmlns="a1360130-ace9-4116-92dd-ec756f4e397b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AnS Document" ma:contentTypeID="0x01010042D37EA284E13942B467171D07EA769900DF6D81BBF89D0D4DA19794E72F57D948" ma:contentTypeVersion="19" ma:contentTypeDescription="" ma:contentTypeScope="" ma:versionID="3b6de457559cd0436ceb29123c467a76">
  <xsd:schema xmlns:xsd="http://www.w3.org/2001/XMLSchema" xmlns:xs="http://www.w3.org/2001/XMLSchema" xmlns:p="http://schemas.microsoft.com/office/2006/metadata/properties" xmlns:ns2="a1360130-ace9-4116-92dd-ec756f4e397b" xmlns:ns3="97082568-3af7-4690-b0aa-7486844aca3d" targetNamespace="http://schemas.microsoft.com/office/2006/metadata/properties" ma:root="true" ma:fieldsID="14d79c159d607aa21ba2c8d09858bf7e" ns2:_="" ns3:_="">
    <xsd:import namespace="a1360130-ace9-4116-92dd-ec756f4e397b"/>
    <xsd:import namespace="97082568-3af7-4690-b0aa-7486844aca3d"/>
    <xsd:element name="properties">
      <xsd:complexType>
        <xsd:sequence>
          <xsd:element name="documentManagement">
            <xsd:complexType>
              <xsd:all>
                <xsd:element ref="ns2:DocDescription" minOccurs="0"/>
                <xsd:element ref="ns2:People" minOccurs="0"/>
                <xsd:element ref="ns2:Links" minOccurs="0"/>
                <xsd:element ref="ns2:SVNLocation" minOccurs="0"/>
                <xsd:element ref="ns2:DocumentVersion" minOccurs="0"/>
                <xsd:element ref="ns2:TaxCatchAll" minOccurs="0"/>
                <xsd:element ref="ns2:TaxCatchAllLabel" minOccurs="0"/>
                <xsd:element ref="ns2:TaxKeywordTaxHTField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360130-ace9-4116-92dd-ec756f4e397b" elementFormDefault="qualified">
    <xsd:import namespace="http://schemas.microsoft.com/office/2006/documentManagement/types"/>
    <xsd:import namespace="http://schemas.microsoft.com/office/infopath/2007/PartnerControls"/>
    <xsd:element name="DocDescription" ma:index="2" nillable="true" ma:displayName="Document Description" ma:internalName="DocDescription">
      <xsd:simpleType>
        <xsd:restriction base="dms:Note">
          <xsd:maxLength value="255"/>
        </xsd:restriction>
      </xsd:simpleType>
    </xsd:element>
    <xsd:element name="People" ma:index="3" nillable="true" ma:displayName="People" ma:list="UserInfo" ma:SharePointGroup="0" ma:internalName="People" ma:showField="ImnNam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Links" ma:index="4" nillable="true" ma:displayName="Links" ma:list="{8ca7dfac-ece5-4247-b95a-1e5850de886b}" ma:internalName="Links" ma:showField="Title" ma:web="a1360130-ace9-4116-92dd-ec756f4e397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VNLocation" ma:index="5" nillable="true" ma:displayName="SVNLocation" ma:internalName="SVNLocation">
      <xsd:simpleType>
        <xsd:restriction base="dms:Note">
          <xsd:maxLength value="255"/>
        </xsd:restriction>
      </xsd:simpleType>
    </xsd:element>
    <xsd:element name="DocumentVersion" ma:index="6" nillable="true" ma:displayName="DocumentVersion" ma:internalName="DocumentVersion">
      <xsd:simpleType>
        <xsd:restriction base="dms:Text">
          <xsd:maxLength value="255"/>
        </xsd:restriction>
      </xsd:simpleType>
    </xsd:element>
    <xsd:element name="TaxCatchAll" ma:index="10" nillable="true" ma:displayName="Taxonomy Catch All Column" ma:description="" ma:hidden="true" ma:list="{1b91a5dd-074b-4091-ae28-72dfdb61e466}" ma:internalName="TaxCatchAll" ma:showField="CatchAllData" ma:web="a1360130-ace9-4116-92dd-ec756f4e397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1" nillable="true" ma:displayName="Taxonomy Catch All Column1" ma:description="" ma:hidden="true" ma:list="{1b91a5dd-074b-4091-ae28-72dfdb61e466}" ma:internalName="TaxCatchAllLabel" ma:readOnly="true" ma:showField="CatchAllDataLabel" ma:web="a1360130-ace9-4116-92dd-ec756f4e397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KeywordTaxHTField" ma:index="13" nillable="true" ma:taxonomy="true" ma:internalName="TaxKeywordTaxHTField" ma:taxonomyFieldName="TaxKeyword" ma:displayName="Tags" ma:fieldId="{23f27201-bee3-471e-b2e7-b64fd8b7ca38}" ma:taxonomyMulti="true" ma:sspId="e2715f63-63d5-4241-9ac6-6337b509393b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082568-3af7-4690-b0aa-7486844a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7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8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5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82F824C-B5E3-4BD3-92A1-2403F6E69E7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55A3788-A2C5-49FE-A0B1-252591E114BF}">
  <ds:schemaRefs>
    <ds:schemaRef ds:uri="a1360130-ace9-4116-92dd-ec756f4e397b"/>
    <ds:schemaRef ds:uri="http://schemas.microsoft.com/office/2006/metadata/properties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infopath/2007/PartnerControls"/>
    <ds:schemaRef ds:uri="97082568-3af7-4690-b0aa-7486844aca3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39EF3843-EEF4-4BA1-AA02-A0818997DD1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360130-ace9-4116-92dd-ec756f4e397b"/>
    <ds:schemaRef ds:uri="97082568-3af7-4690-b0aa-7486844a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88</vt:i4>
      </vt:variant>
    </vt:vector>
  </HeadingPairs>
  <TitlesOfParts>
    <vt:vector size="94" baseType="lpstr">
      <vt:lpstr>Lists</vt:lpstr>
      <vt:lpstr>Estimation</vt:lpstr>
      <vt:lpstr>Schedule</vt:lpstr>
      <vt:lpstr>RoughWork</vt:lpstr>
      <vt:lpstr>Help</vt:lpstr>
      <vt:lpstr>FAQs</vt:lpstr>
      <vt:lpstr>ACTIVITY_RANGE</vt:lpstr>
      <vt:lpstr>AS_DEV_EFFORT</vt:lpstr>
      <vt:lpstr>AS_DURATION_EFFORT</vt:lpstr>
      <vt:lpstr>AS_MANUAL_DURATION_EFFORT</vt:lpstr>
      <vt:lpstr>AUTOMATED_END_DATE</vt:lpstr>
      <vt:lpstr>BUFFER_TYPES_LIST</vt:lpstr>
      <vt:lpstr>BUFFERS_BY_TYPE</vt:lpstr>
      <vt:lpstr>CHOSEN_CURRENCY</vt:lpstr>
      <vt:lpstr>CLIENT_NAME</vt:lpstr>
      <vt:lpstr>COMPACT_WBS</vt:lpstr>
      <vt:lpstr>COPY_TYPE</vt:lpstr>
      <vt:lpstr>CURRENCIES_LIST</vt:lpstr>
      <vt:lpstr>CUSTOM_PERCENT</vt:lpstr>
      <vt:lpstr>DESIGN_COST</vt:lpstr>
      <vt:lpstr>DESIGN_EFFORT</vt:lpstr>
      <vt:lpstr>DESIGN_RANGE</vt:lpstr>
      <vt:lpstr>DESIGN_TA_COUNT</vt:lpstr>
      <vt:lpstr>DESIGN_TA_PERCENT</vt:lpstr>
      <vt:lpstr>DEV_COST</vt:lpstr>
      <vt:lpstr>DEV_DEV_COUNT</vt:lpstr>
      <vt:lpstr>DEV_DEV_PERCENT</vt:lpstr>
      <vt:lpstr>DEV_EFFORT</vt:lpstr>
      <vt:lpstr>DEV_RANGE</vt:lpstr>
      <vt:lpstr>DURATION</vt:lpstr>
      <vt:lpstr>EXTRA_FOR_H</vt:lpstr>
      <vt:lpstr>EXTRAS_ARRAY</vt:lpstr>
      <vt:lpstr>EXTRAS_LIST</vt:lpstr>
      <vt:lpstr>FBS</vt:lpstr>
      <vt:lpstr>FBS_FORMAT</vt:lpstr>
      <vt:lpstr>FBS_INSERT_AT</vt:lpstr>
      <vt:lpstr>FBS_LINK</vt:lpstr>
      <vt:lpstr>FBS_RANGE</vt:lpstr>
      <vt:lpstr>FULL_WBS</vt:lpstr>
      <vt:lpstr>INCLUDE_OPTIONALS_LIST</vt:lpstr>
      <vt:lpstr>IS_KEY_OPP</vt:lpstr>
      <vt:lpstr>LESS_FOR_L</vt:lpstr>
      <vt:lpstr>MANUAL_DURATION</vt:lpstr>
      <vt:lpstr>MANUAL_END_DATE</vt:lpstr>
      <vt:lpstr>MAX_EFFORT_PERCENT</vt:lpstr>
      <vt:lpstr>MIN_EFFORT_PERCENT</vt:lpstr>
      <vt:lpstr>MODULE_RANGE</vt:lpstr>
      <vt:lpstr>NOT_IN_COMPACT</vt:lpstr>
      <vt:lpstr>OTHER_COST</vt:lpstr>
      <vt:lpstr>OTHER_EFFORT</vt:lpstr>
      <vt:lpstr>OTHER_TL_COUNT</vt:lpstr>
      <vt:lpstr>OTHER_TL_PERCENT</vt:lpstr>
      <vt:lpstr>OTHERS_RANGE</vt:lpstr>
      <vt:lpstr>PLATFORM</vt:lpstr>
      <vt:lpstr>PLATFORMS_LIST</vt:lpstr>
      <vt:lpstr>Estimation!Print_Area</vt:lpstr>
      <vt:lpstr>PROJECT_NAME</vt:lpstr>
      <vt:lpstr>PROJECT_TYPE</vt:lpstr>
      <vt:lpstr>PROJECT_TYPES_LIST</vt:lpstr>
      <vt:lpstr>QA_COST</vt:lpstr>
      <vt:lpstr>QA_EFFORT</vt:lpstr>
      <vt:lpstr>QA_RANGE</vt:lpstr>
      <vt:lpstr>REGIONS_LIST</vt:lpstr>
      <vt:lpstr>REQ_BA_COUNT</vt:lpstr>
      <vt:lpstr>REQ_BA_PERCENT</vt:lpstr>
      <vt:lpstr>REQ_COST</vt:lpstr>
      <vt:lpstr>REQ_EFFORT</vt:lpstr>
      <vt:lpstr>REQ_RANGE</vt:lpstr>
      <vt:lpstr>RFP_NAME</vt:lpstr>
      <vt:lpstr>ROLES_LIST</vt:lpstr>
      <vt:lpstr>SALES_CALL_SCALE_ARRAY</vt:lpstr>
      <vt:lpstr>SALES_CALL_SCALE_LIST</vt:lpstr>
      <vt:lpstr>SALES_DECISION_TABLE</vt:lpstr>
      <vt:lpstr>SECTION_RANGE</vt:lpstr>
      <vt:lpstr>START_DATE</vt:lpstr>
      <vt:lpstr>TASK_RANGE</vt:lpstr>
      <vt:lpstr>TEMPLATE_NAME</vt:lpstr>
      <vt:lpstr>TEMPLATE_SECTION</vt:lpstr>
      <vt:lpstr>TEMPLATE_VER</vt:lpstr>
      <vt:lpstr>TESTING_QA_COUNT</vt:lpstr>
      <vt:lpstr>TESTING_QA_PERCENT</vt:lpstr>
      <vt:lpstr>TOTAL_COST</vt:lpstr>
      <vt:lpstr>TOTAL_EFFORT</vt:lpstr>
      <vt:lpstr>Total_FRs</vt:lpstr>
      <vt:lpstr>Total_Screens</vt:lpstr>
      <vt:lpstr>Total_Test_Cases</vt:lpstr>
      <vt:lpstr>Total_Use_Cases</vt:lpstr>
      <vt:lpstr>TOTAL_WEEKS</vt:lpstr>
      <vt:lpstr>UAT_COST</vt:lpstr>
      <vt:lpstr>UAT_DEV_COUNT</vt:lpstr>
      <vt:lpstr>UAT_DEV_PERCENT</vt:lpstr>
      <vt:lpstr>UAT_EFFORT</vt:lpstr>
      <vt:lpstr>UAT_RANGE</vt:lpstr>
      <vt:lpstr>YES_NO_LIST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Estimation Template</dc:title>
  <dc:creator>Pankaj Mahur</dc:creator>
  <cp:keywords/>
  <cp:lastModifiedBy>Pankaj Mahur</cp:lastModifiedBy>
  <cp:lastPrinted>2015-06-17T10:58:29Z</cp:lastPrinted>
  <dcterms:created xsi:type="dcterms:W3CDTF">2013-10-21T05:49:27Z</dcterms:created>
  <dcterms:modified xsi:type="dcterms:W3CDTF">2021-01-27T14:33:21Z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0x01010042D37EA284E13942B467171D07EA769900DF6D81BBF89D0D4DA19794E72F57D948</vt:lpwstr>
  </property>
  <property fmtid="{D5CDD505-2E9C-101B-9397-08002B2CF9AE}" pid="3" name="Description0">
    <vt:lpwstr>This is a template document (Excel Workbook) released as part of AG suggest series. This version (v2.0.4) provides advanced features to prepare rough and ballpark estimates for a given requirement, project or RFP. It also contains sample WBS task items.</vt:lpwstr>
  </property>
  <property fmtid="{D5CDD505-2E9C-101B-9397-08002B2CF9AE}" pid="4" name="TaxKeyword">
    <vt:lpwstr/>
  </property>
  <property fmtid="{D5CDD505-2E9C-101B-9397-08002B2CF9AE}" pid="5" name="DocDescription">
    <vt:lpwstr>This is a template document (Excel Workbook) released as part of AG suggest series. This version (v2.0.4) provides advanced features to prepare rough and ballpark estimates for a given requirement, project or RFP. It also contains sample WBS task items.</vt:lpwstr>
  </property>
  <property fmtid="{D5CDD505-2E9C-101B-9397-08002B2CF9AE}" pid="6" name="TaxCatchAll">
    <vt:lpwstr/>
  </property>
  <property fmtid="{D5CDD505-2E9C-101B-9397-08002B2CF9AE}" pid="7" name="SharedWithUsers">
    <vt:lpwstr>31;#Ridhi Jain;#32;#All Users (membership)</vt:lpwstr>
  </property>
</Properties>
</file>