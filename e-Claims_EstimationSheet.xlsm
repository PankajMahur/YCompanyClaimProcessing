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nkajmahur\source\repos\PankajMahur\YCompany\YCompanyClaimProcessing\"/>
    </mc:Choice>
  </mc:AlternateContent>
  <xr:revisionPtr revIDLastSave="0" documentId="13_ncr:1_{6D407C5C-1EF4-4E7A-A38C-151A2A56820B}" xr6:coauthVersionLast="46" xr6:coauthVersionMax="46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-108" yWindow="-108" windowWidth="23256" windowHeight="12576" tabRatio="340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Estimation!$413:$413</definedName>
    <definedName name="AS_DEV_EFFORT">Estimation!$P$303</definedName>
    <definedName name="AS_DURATION_EFFORT">Estimation!$P$304</definedName>
    <definedName name="AS_MANUAL_DURATION_EFFORT">Estimation!$U$305</definedName>
    <definedName name="AUTOMATED_END_DATE">Estimation!$P$279</definedName>
    <definedName name="BUFFER_TYPES_LIST">Lists!$B$45:$B$48</definedName>
    <definedName name="BUFFERS_BY_TYPE">Estimation!$N$338:$O$340</definedName>
    <definedName name="CHOSEN_CURRENCY">Estimation!$O$297</definedName>
    <definedName name="CLIENT_NAME">Estimation!$O$290</definedName>
    <definedName name="COMPACT_WBS">Estimation!$L$10:$T$240</definedName>
    <definedName name="COPY_TYPE">Estimation!$R$9</definedName>
    <definedName name="CURRENCIES_LIST">Lists!$B$27:$B$29</definedName>
    <definedName name="CUSTOM_PERCENT">Estimation!$T$5</definedName>
    <definedName name="DESIGN_COST">Estimation!$W$265</definedName>
    <definedName name="DESIGN_EFFORT">Estimation!$O$265</definedName>
    <definedName name="DESIGN_RANGE">Estimation!$L$65:$AC$95</definedName>
    <definedName name="DESIGN_TA_COUNT">Estimation!$R$275</definedName>
    <definedName name="DESIGN_TA_PERCENT">Estimation!$R$265</definedName>
    <definedName name="DEV_COST">Estimation!$W$266</definedName>
    <definedName name="DEV_DEV_COUNT">Estimation!$T$276</definedName>
    <definedName name="DEV_DEV_PERCENT">Estimation!$T$266</definedName>
    <definedName name="DEV_EFFORT">Estimation!$O$266</definedName>
    <definedName name="DEV_RANGE">Estimation!$L$96:$AC$171</definedName>
    <definedName name="DURATION">Estimation!$P$280</definedName>
    <definedName name="EXTRA_FOR_H">Estimation!$O$325</definedName>
    <definedName name="EXTRAS_ARRAY">Estimation!$N$330:$O$335</definedName>
    <definedName name="EXTRAS_LIST">Estimation!$N$330:$N$335</definedName>
    <definedName name="FBS">Estimation!$L$242</definedName>
    <definedName name="FBS_FORMAT">Estimation!$S$247</definedName>
    <definedName name="FBS_INSERT_AT">Estimation!$M$253:$P$253</definedName>
    <definedName name="FBS_LINK">Estimation!$T$247</definedName>
    <definedName name="FBS_RANGE">Estimation!$M$248:$P$254</definedName>
    <definedName name="FULL_WBS">Estimation!$L$10:$AC$240</definedName>
    <definedName name="INCLUDE_OPTIONALS_LIST">Lists!$B$58:$B$59</definedName>
    <definedName name="IS_KEY_OPP">Estimation!$O$295</definedName>
    <definedName name="LESS_FOR_L">Estimation!$O$326</definedName>
    <definedName name="MANUAL_DURATION">Estimation!$P$281</definedName>
    <definedName name="MANUAL_END_DATE">Schedule!$L$1</definedName>
    <definedName name="MAX_EFFORT_PERCENT">Estimation!$P$300</definedName>
    <definedName name="MIN_EFFORT_PERCENT">Estimation!$O$300</definedName>
    <definedName name="MODULE_RANGE">Estimation!$417:$417</definedName>
    <definedName name="NOT_IN_COMPACT">Estimation!$O:$W</definedName>
    <definedName name="OTHER_COST">Estimation!$W$269</definedName>
    <definedName name="OTHER_EFFORT">Estimation!$O$269</definedName>
    <definedName name="OTHER_TL_COUNT">Estimation!$S$279</definedName>
    <definedName name="OTHER_TL_PERCENT">Estimation!$S$269</definedName>
    <definedName name="OTHERS_RANGE">Estimation!$L$233:$AC$239</definedName>
    <definedName name="PLATFORM">Estimation!$O$292</definedName>
    <definedName name="PLATFORMS_LIST">Lists!$B$38:$B$42</definedName>
    <definedName name="_xlnm.Print_Area" localSheetId="1">Estimation!$A$1:$AC$286</definedName>
    <definedName name="PROJECT_NAME">Estimation!$O$291</definedName>
    <definedName name="PROJECT_TYPE">Estimation!$O$293</definedName>
    <definedName name="PROJECT_TYPES_LIST">Lists!$B$32:$B$35</definedName>
    <definedName name="QA_COST">Estimation!$W$267</definedName>
    <definedName name="QA_EFFORT">Estimation!$O$267</definedName>
    <definedName name="QA_RANGE">Estimation!$L$172:$AC$209</definedName>
    <definedName name="REGIONS_LIST">Lists!$B$19:$B$24</definedName>
    <definedName name="REQ_BA_COUNT">Estimation!$Q$274</definedName>
    <definedName name="REQ_BA_PERCENT">Estimation!$Q$264</definedName>
    <definedName name="REQ_COST">Estimation!$W$264</definedName>
    <definedName name="REQ_EFFORT">Estimation!$O$264</definedName>
    <definedName name="REQ_RANGE">Estimation!$L$12:$AC$64</definedName>
    <definedName name="RFP_NAME">Estimation!$O$294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Estimation!$P$330:$P$331</definedName>
    <definedName name="SECTION_RANGE">Estimation!$409:$415</definedName>
    <definedName name="START_DATE">Estimation!$O$274</definedName>
    <definedName name="TASK_RANGE">Estimation!$411:$414</definedName>
    <definedName name="TEMPLATE_NAME">Estimation!$G$3</definedName>
    <definedName name="TEMPLATE_SECTION">Estimation!$408:$418</definedName>
    <definedName name="TEMPLATE_VER">Estimation!$K$3</definedName>
    <definedName name="TESTING_QA_COUNT">Estimation!$U$277</definedName>
    <definedName name="TESTING_QA_PERCENT">Estimation!$U$267</definedName>
    <definedName name="TOTAL_COST">Estimation!$W$270</definedName>
    <definedName name="TOTAL_EFFORT">Estimation!$O$270</definedName>
    <definedName name="Total_FRs">Estimation!$Q$23</definedName>
    <definedName name="Total_Screens">Estimation!$P$62</definedName>
    <definedName name="Total_Test_Cases">Estimation!$P$184</definedName>
    <definedName name="Total_Use_Cases">Estimation!$P$43</definedName>
    <definedName name="TOTAL_WEEKS">Estimation!$P$270</definedName>
    <definedName name="UAT_COST">Estimation!$W$268</definedName>
    <definedName name="UAT_DEV_COUNT">Estimation!$T$278</definedName>
    <definedName name="UAT_DEV_PERCENT">Estimation!$T$268</definedName>
    <definedName name="UAT_EFFORT">Estimation!$O$268</definedName>
    <definedName name="UAT_RANGE">Estimation!$L$210:$AC$232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53" i="2" l="1"/>
  <c r="AA153" i="2" s="1"/>
  <c r="S153" i="2" s="1"/>
  <c r="AD151" i="2"/>
  <c r="Y149" i="2"/>
  <c r="AA149" i="2" s="1"/>
  <c r="S149" i="2" s="1"/>
  <c r="AD147" i="2"/>
  <c r="Y139" i="2"/>
  <c r="AA139" i="2" s="1"/>
  <c r="S139" i="2" s="1"/>
  <c r="AD139" i="2" s="1"/>
  <c r="Y138" i="2"/>
  <c r="AA138" i="2" s="1"/>
  <c r="S138" i="2" s="1"/>
  <c r="AD138" i="2" s="1"/>
  <c r="Y137" i="2"/>
  <c r="AA137" i="2" s="1"/>
  <c r="S137" i="2" s="1"/>
  <c r="AD135" i="2"/>
  <c r="AD146" i="2"/>
  <c r="Y144" i="2"/>
  <c r="AA144" i="2" s="1"/>
  <c r="S144" i="2" s="1"/>
  <c r="AD144" i="2" s="1"/>
  <c r="Y143" i="2"/>
  <c r="AA143" i="2" s="1"/>
  <c r="S143" i="2" s="1"/>
  <c r="AD141" i="2"/>
  <c r="AD134" i="2"/>
  <c r="Y128" i="2"/>
  <c r="AA128" i="2" s="1"/>
  <c r="S128" i="2" s="1"/>
  <c r="AD126" i="2"/>
  <c r="Y132" i="2"/>
  <c r="AA132" i="2" s="1"/>
  <c r="S132" i="2" s="1"/>
  <c r="AD130" i="2"/>
  <c r="Y124" i="2"/>
  <c r="AA124" i="2" s="1"/>
  <c r="S124" i="2" s="1"/>
  <c r="AD122" i="2"/>
  <c r="Y120" i="2"/>
  <c r="AA120" i="2" s="1"/>
  <c r="S120" i="2" s="1"/>
  <c r="AD118" i="2"/>
  <c r="Y116" i="2"/>
  <c r="AA116" i="2" s="1"/>
  <c r="S116" i="2" s="1"/>
  <c r="AD116" i="2" s="1"/>
  <c r="Y115" i="2"/>
  <c r="AA115" i="2" s="1"/>
  <c r="S115" i="2" s="1"/>
  <c r="AD113" i="2"/>
  <c r="Y76" i="2"/>
  <c r="AA76" i="2" s="1"/>
  <c r="S76" i="2" s="1"/>
  <c r="AD76" i="2" s="1"/>
  <c r="Y75" i="2"/>
  <c r="AA75" i="2" s="1"/>
  <c r="S75" i="2" s="1"/>
  <c r="AD75" i="2" s="1"/>
  <c r="AD153" i="2" l="1"/>
  <c r="T151" i="2"/>
  <c r="AD149" i="2"/>
  <c r="T147" i="2"/>
  <c r="T135" i="2"/>
  <c r="AD137" i="2"/>
  <c r="AD143" i="2"/>
  <c r="T141" i="2"/>
  <c r="AD128" i="2"/>
  <c r="T126" i="2"/>
  <c r="T130" i="2"/>
  <c r="AD132" i="2"/>
  <c r="T122" i="2"/>
  <c r="AD124" i="2"/>
  <c r="AD120" i="2"/>
  <c r="T118" i="2"/>
  <c r="T113" i="2"/>
  <c r="AD115" i="2"/>
  <c r="S146" i="2"/>
  <c r="S134" i="2"/>
  <c r="Y207" i="2" l="1"/>
  <c r="AA207" i="2" s="1"/>
  <c r="S207" i="2" s="1"/>
  <c r="AD207" i="2" s="1"/>
  <c r="Y206" i="2"/>
  <c r="AA206" i="2" s="1"/>
  <c r="S206" i="2" s="1"/>
  <c r="AD206" i="2" s="1"/>
  <c r="R205" i="2" l="1"/>
  <c r="R204" i="2"/>
  <c r="R202" i="2"/>
  <c r="X197" i="2"/>
  <c r="X196" i="2"/>
  <c r="AD180" i="2" l="1"/>
  <c r="AD174" i="2"/>
  <c r="Y177" i="2"/>
  <c r="AA177" i="2" s="1"/>
  <c r="S177" i="2" s="1"/>
  <c r="AD175" i="2"/>
  <c r="Y186" i="2"/>
  <c r="AA186" i="2" s="1"/>
  <c r="S186" i="2" s="1"/>
  <c r="AD186" i="2" s="1"/>
  <c r="Y183" i="2"/>
  <c r="AA183" i="2" s="1"/>
  <c r="S183" i="2" s="1"/>
  <c r="AD181" i="2"/>
  <c r="Y169" i="2"/>
  <c r="AA169" i="2" s="1"/>
  <c r="S169" i="2" s="1"/>
  <c r="AD169" i="2" s="1"/>
  <c r="AD165" i="2"/>
  <c r="Y168" i="2"/>
  <c r="AA168" i="2" s="1"/>
  <c r="S168" i="2" s="1"/>
  <c r="AD166" i="2"/>
  <c r="Y59" i="2"/>
  <c r="AA59" i="2" s="1"/>
  <c r="S59" i="2" s="1"/>
  <c r="AD59" i="2" s="1"/>
  <c r="Y60" i="2"/>
  <c r="AA60" i="2" s="1"/>
  <c r="S60" i="2" s="1"/>
  <c r="AD60" i="2" s="1"/>
  <c r="Y62" i="2"/>
  <c r="AA62" i="2" s="1"/>
  <c r="S62" i="2" s="1"/>
  <c r="AD62" i="2" s="1"/>
  <c r="Y50" i="2"/>
  <c r="AA50" i="2" s="1"/>
  <c r="S50" i="2" s="1"/>
  <c r="AD50" i="2" s="1"/>
  <c r="Y51" i="2"/>
  <c r="AA51" i="2" s="1"/>
  <c r="S51" i="2" s="1"/>
  <c r="AD51" i="2" s="1"/>
  <c r="Y52" i="2"/>
  <c r="AA52" i="2" s="1"/>
  <c r="S52" i="2" s="1"/>
  <c r="AD52" i="2" s="1"/>
  <c r="Y53" i="2"/>
  <c r="AA53" i="2" s="1"/>
  <c r="S53" i="2" s="1"/>
  <c r="AD53" i="2" s="1"/>
  <c r="Y54" i="2"/>
  <c r="AA54" i="2" s="1"/>
  <c r="S54" i="2" s="1"/>
  <c r="AD54" i="2" s="1"/>
  <c r="Q43" i="2"/>
  <c r="P43" i="2"/>
  <c r="Y44" i="2"/>
  <c r="AA44" i="2" s="1"/>
  <c r="S44" i="2" s="1"/>
  <c r="AD44" i="2" s="1"/>
  <c r="Y45" i="2"/>
  <c r="AA45" i="2" s="1"/>
  <c r="S45" i="2" s="1"/>
  <c r="AD45" i="2" s="1"/>
  <c r="Y36" i="2"/>
  <c r="AA36" i="2" s="1"/>
  <c r="S36" i="2" s="1"/>
  <c r="AD36" i="2" s="1"/>
  <c r="Y37" i="2"/>
  <c r="AA37" i="2" s="1"/>
  <c r="S37" i="2" s="1"/>
  <c r="AD37" i="2" s="1"/>
  <c r="Y38" i="2"/>
  <c r="AA38" i="2" s="1"/>
  <c r="S38" i="2" s="1"/>
  <c r="AD38" i="2" s="1"/>
  <c r="Y39" i="2"/>
  <c r="AA39" i="2" s="1"/>
  <c r="S39" i="2" s="1"/>
  <c r="AD39" i="2" s="1"/>
  <c r="Y29" i="2"/>
  <c r="AA29" i="2" s="1"/>
  <c r="S29" i="2" s="1"/>
  <c r="AD29" i="2" s="1"/>
  <c r="Y30" i="2"/>
  <c r="AA30" i="2" s="1"/>
  <c r="S30" i="2" s="1"/>
  <c r="AD30" i="2" s="1"/>
  <c r="Y31" i="2"/>
  <c r="AA31" i="2" s="1"/>
  <c r="S31" i="2" s="1"/>
  <c r="AD31" i="2" s="1"/>
  <c r="Y22" i="2"/>
  <c r="AA22" i="2" s="1"/>
  <c r="S22" i="2" s="1"/>
  <c r="AD22" i="2" s="1"/>
  <c r="Y58" i="2"/>
  <c r="AA58" i="2" s="1"/>
  <c r="S58" i="2" s="1"/>
  <c r="AD56" i="2"/>
  <c r="Y49" i="2"/>
  <c r="AA49" i="2" s="1"/>
  <c r="S49" i="2" s="1"/>
  <c r="AD47" i="2"/>
  <c r="AD41" i="2"/>
  <c r="Y35" i="2"/>
  <c r="AA35" i="2" s="1"/>
  <c r="S35" i="2" s="1"/>
  <c r="AD33" i="2"/>
  <c r="Y28" i="2"/>
  <c r="AA28" i="2" s="1"/>
  <c r="S28" i="2" s="1"/>
  <c r="AD26" i="2"/>
  <c r="Q184" i="2" l="1"/>
  <c r="Y61" i="2"/>
  <c r="AA61" i="2" s="1"/>
  <c r="S61" i="2" s="1"/>
  <c r="AD61" i="2" s="1"/>
  <c r="Q178" i="2"/>
  <c r="Y178" i="2" s="1"/>
  <c r="AA178" i="2" s="1"/>
  <c r="S178" i="2" s="1"/>
  <c r="AD178" i="2" s="1"/>
  <c r="AD177" i="2"/>
  <c r="AD183" i="2"/>
  <c r="P185" i="2"/>
  <c r="P184" i="2"/>
  <c r="Q185" i="2"/>
  <c r="T166" i="2"/>
  <c r="AD168" i="2"/>
  <c r="Y43" i="2"/>
  <c r="AA43" i="2" s="1"/>
  <c r="S43" i="2" s="1"/>
  <c r="T41" i="2" s="1"/>
  <c r="AD58" i="2"/>
  <c r="T47" i="2"/>
  <c r="AD49" i="2"/>
  <c r="T33" i="2"/>
  <c r="AD35" i="2"/>
  <c r="T26" i="2"/>
  <c r="AD28" i="2"/>
  <c r="T56" i="2" l="1"/>
  <c r="Y184" i="2"/>
  <c r="AA184" i="2" s="1"/>
  <c r="S184" i="2" s="1"/>
  <c r="AD184" i="2" s="1"/>
  <c r="Q197" i="2"/>
  <c r="Q196" i="2"/>
  <c r="Q191" i="2"/>
  <c r="T175" i="2"/>
  <c r="Y185" i="2"/>
  <c r="AA185" i="2" s="1"/>
  <c r="S185" i="2" s="1"/>
  <c r="AD185" i="2" s="1"/>
  <c r="AD43" i="2"/>
  <c r="S165" i="2"/>
  <c r="T181" i="2" l="1"/>
  <c r="R262" i="2" l="1"/>
  <c r="S262" i="2"/>
  <c r="T262" i="2"/>
  <c r="U262" i="2"/>
  <c r="V262" i="2"/>
  <c r="Q262" i="2"/>
  <c r="S417" i="2"/>
  <c r="AD235" i="2" l="1"/>
  <c r="Y18" i="2" l="1"/>
  <c r="AA18" i="2" s="1"/>
  <c r="S18" i="2" s="1"/>
  <c r="AD18" i="2" s="1"/>
  <c r="Y228" i="2" l="1"/>
  <c r="AA228" i="2" s="1"/>
  <c r="S228" i="2" s="1"/>
  <c r="AD228" i="2" s="1"/>
  <c r="Y229" i="2"/>
  <c r="AA229" i="2" s="1"/>
  <c r="S229" i="2" s="1"/>
  <c r="AD229" i="2" s="1"/>
  <c r="Y230" i="2"/>
  <c r="AA230" i="2" s="1"/>
  <c r="S230" i="2" s="1"/>
  <c r="AD230" i="2" s="1"/>
  <c r="Y227" i="2"/>
  <c r="AA227" i="2" s="1"/>
  <c r="S227" i="2" s="1"/>
  <c r="AD225" i="2"/>
  <c r="Y223" i="2"/>
  <c r="AA223" i="2" s="1"/>
  <c r="S223" i="2" s="1"/>
  <c r="AD221" i="2"/>
  <c r="Y219" i="2"/>
  <c r="AA219" i="2" s="1"/>
  <c r="S219" i="2" s="1"/>
  <c r="AD217" i="2"/>
  <c r="Y215" i="2"/>
  <c r="AA215" i="2" s="1"/>
  <c r="S215" i="2" s="1"/>
  <c r="AD215" i="2" s="1"/>
  <c r="Y214" i="2"/>
  <c r="AA214" i="2" s="1"/>
  <c r="S214" i="2" s="1"/>
  <c r="AD212" i="2"/>
  <c r="Y203" i="2"/>
  <c r="AA203" i="2" s="1"/>
  <c r="S203" i="2" s="1"/>
  <c r="AD203" i="2" s="1"/>
  <c r="Y204" i="2"/>
  <c r="AA204" i="2" s="1"/>
  <c r="S204" i="2" s="1"/>
  <c r="AD204" i="2" s="1"/>
  <c r="Y205" i="2"/>
  <c r="AA205" i="2" s="1"/>
  <c r="S205" i="2" s="1"/>
  <c r="AD205" i="2" s="1"/>
  <c r="Y202" i="2"/>
  <c r="AA202" i="2" s="1"/>
  <c r="S202" i="2" s="1"/>
  <c r="AD200" i="2"/>
  <c r="Y197" i="2"/>
  <c r="AA197" i="2" s="1"/>
  <c r="S197" i="2" s="1"/>
  <c r="AD197" i="2" s="1"/>
  <c r="Y198" i="2"/>
  <c r="AA198" i="2" s="1"/>
  <c r="S198" i="2" s="1"/>
  <c r="AD198" i="2" s="1"/>
  <c r="Y196" i="2"/>
  <c r="AA196" i="2" s="1"/>
  <c r="S196" i="2" s="1"/>
  <c r="AD196" i="2" s="1"/>
  <c r="Y195" i="2"/>
  <c r="AA195" i="2" s="1"/>
  <c r="S195" i="2" s="1"/>
  <c r="AD193" i="2"/>
  <c r="Y191" i="2"/>
  <c r="AA191" i="2" s="1"/>
  <c r="S191" i="2" s="1"/>
  <c r="AD191" i="2" s="1"/>
  <c r="Y190" i="2"/>
  <c r="AA190" i="2" s="1"/>
  <c r="S190" i="2" s="1"/>
  <c r="AD188" i="2"/>
  <c r="Y159" i="2"/>
  <c r="AA159" i="2" s="1"/>
  <c r="S159" i="2" s="1"/>
  <c r="AD159" i="2" s="1"/>
  <c r="Y163" i="2"/>
  <c r="AA163" i="2" s="1"/>
  <c r="S163" i="2" s="1"/>
  <c r="AD161" i="2"/>
  <c r="AD155" i="2"/>
  <c r="Y108" i="2"/>
  <c r="AA108" i="2" s="1"/>
  <c r="S108" i="2" s="1"/>
  <c r="AD108" i="2" s="1"/>
  <c r="Y109" i="2"/>
  <c r="AA109" i="2" s="1"/>
  <c r="S109" i="2" s="1"/>
  <c r="AD109" i="2" s="1"/>
  <c r="Y110" i="2"/>
  <c r="AA110" i="2" s="1"/>
  <c r="S110" i="2" s="1"/>
  <c r="AD110" i="2" s="1"/>
  <c r="Y101" i="2"/>
  <c r="AA101" i="2" s="1"/>
  <c r="S101" i="2" s="1"/>
  <c r="AD101" i="2" s="1"/>
  <c r="Y102" i="2"/>
  <c r="AA102" i="2" s="1"/>
  <c r="S102" i="2" s="1"/>
  <c r="AD102" i="2" s="1"/>
  <c r="Y103" i="2"/>
  <c r="AA103" i="2" s="1"/>
  <c r="S103" i="2" s="1"/>
  <c r="AD103" i="2" s="1"/>
  <c r="Y88" i="2"/>
  <c r="AA88" i="2" s="1"/>
  <c r="S88" i="2" s="1"/>
  <c r="AD88" i="2" s="1"/>
  <c r="Y89" i="2"/>
  <c r="AA89" i="2" s="1"/>
  <c r="S89" i="2" s="1"/>
  <c r="AD89" i="2" s="1"/>
  <c r="Y90" i="2"/>
  <c r="AA90" i="2" s="1"/>
  <c r="S90" i="2" s="1"/>
  <c r="AD90" i="2" s="1"/>
  <c r="Y91" i="2"/>
  <c r="AA91" i="2" s="1"/>
  <c r="S91" i="2" s="1"/>
  <c r="AD91" i="2" s="1"/>
  <c r="Y92" i="2"/>
  <c r="AA92" i="2" s="1"/>
  <c r="S92" i="2" s="1"/>
  <c r="AD92" i="2" s="1"/>
  <c r="Y93" i="2"/>
  <c r="AA93" i="2" s="1"/>
  <c r="S93" i="2" s="1"/>
  <c r="AD93" i="2" s="1"/>
  <c r="Y83" i="2"/>
  <c r="AA83" i="2" s="1"/>
  <c r="S83" i="2" s="1"/>
  <c r="AD83" i="2" s="1"/>
  <c r="Y82" i="2"/>
  <c r="AA82" i="2" s="1"/>
  <c r="S82" i="2" s="1"/>
  <c r="AD82" i="2" s="1"/>
  <c r="Y81" i="2"/>
  <c r="AA81" i="2" s="1"/>
  <c r="S81" i="2" s="1"/>
  <c r="AD81" i="2" s="1"/>
  <c r="Y70" i="2"/>
  <c r="AA70" i="2" s="1"/>
  <c r="S70" i="2" s="1"/>
  <c r="AD70" i="2" s="1"/>
  <c r="Y87" i="2"/>
  <c r="AA87" i="2" s="1"/>
  <c r="S87" i="2" s="1"/>
  <c r="AD85" i="2"/>
  <c r="Y80" i="2"/>
  <c r="AA80" i="2" s="1"/>
  <c r="S80" i="2" s="1"/>
  <c r="AD78" i="2"/>
  <c r="Y74" i="2"/>
  <c r="AA74" i="2" s="1"/>
  <c r="S74" i="2" s="1"/>
  <c r="AD72" i="2"/>
  <c r="Y24" i="2"/>
  <c r="AA24" i="2" s="1"/>
  <c r="S24" i="2" s="1"/>
  <c r="AD24" i="2" s="1"/>
  <c r="Y23" i="2"/>
  <c r="AA23" i="2" s="1"/>
  <c r="S23" i="2" s="1"/>
  <c r="AD20" i="2"/>
  <c r="AD227" i="2" l="1"/>
  <c r="T225" i="2"/>
  <c r="AD223" i="2"/>
  <c r="AD219" i="2"/>
  <c r="AD214" i="2"/>
  <c r="T212" i="2"/>
  <c r="AD202" i="2"/>
  <c r="T200" i="2"/>
  <c r="AD195" i="2"/>
  <c r="T193" i="2"/>
  <c r="AD190" i="2"/>
  <c r="T188" i="2"/>
  <c r="AD163" i="2"/>
  <c r="T161" i="2"/>
  <c r="AD87" i="2"/>
  <c r="T85" i="2"/>
  <c r="AD80" i="2"/>
  <c r="T78" i="2"/>
  <c r="AD74" i="2"/>
  <c r="T72" i="2"/>
  <c r="AD23" i="2"/>
  <c r="T20" i="2"/>
  <c r="S180" i="2"/>
  <c r="S174" i="2"/>
  <c r="AD112" i="2" l="1"/>
  <c r="Y107" i="2"/>
  <c r="AA107" i="2" s="1"/>
  <c r="S107" i="2" s="1"/>
  <c r="AD105" i="2"/>
  <c r="Y158" i="2"/>
  <c r="AA158" i="2" s="1"/>
  <c r="S158" i="2" s="1"/>
  <c r="AD156" i="2"/>
  <c r="Y100" i="2"/>
  <c r="AA100" i="2" s="1"/>
  <c r="S100" i="2" s="1"/>
  <c r="AD98" i="2"/>
  <c r="AD107" i="2" l="1"/>
  <c r="T105" i="2"/>
  <c r="AD158" i="2"/>
  <c r="T156" i="2"/>
  <c r="T98" i="2"/>
  <c r="AD100" i="2"/>
  <c r="S112" i="2"/>
  <c r="S155" i="2"/>
  <c r="Y69" i="2" l="1"/>
  <c r="AA69" i="2" s="1"/>
  <c r="S69" i="2" s="1"/>
  <c r="AD67" i="2"/>
  <c r="Y17" i="2"/>
  <c r="AA17" i="2" s="1"/>
  <c r="S17" i="2" s="1"/>
  <c r="AD17" i="2" s="1"/>
  <c r="Y16" i="2"/>
  <c r="AA16" i="2" s="1"/>
  <c r="S16" i="2" s="1"/>
  <c r="AD14" i="2"/>
  <c r="L14" i="2"/>
  <c r="AD69" i="2" l="1"/>
  <c r="T67" i="2"/>
  <c r="L15" i="2"/>
  <c r="AD16" i="2"/>
  <c r="T14" i="2"/>
  <c r="L20" i="2"/>
  <c r="L21" i="2" l="1"/>
  <c r="M22" i="2" s="1"/>
  <c r="M16" i="2"/>
  <c r="M17" i="2" s="1"/>
  <c r="M18" i="2" s="1"/>
  <c r="B269" i="2"/>
  <c r="B268" i="2"/>
  <c r="B267" i="2"/>
  <c r="B266" i="2"/>
  <c r="B265" i="2"/>
  <c r="B264" i="2"/>
  <c r="AD417" i="2"/>
  <c r="AD411" i="2"/>
  <c r="L26" i="2"/>
  <c r="L27" i="2" l="1"/>
  <c r="M23" i="2"/>
  <c r="P247" i="2"/>
  <c r="L33" i="2"/>
  <c r="L34" i="2" l="1"/>
  <c r="M28" i="2"/>
  <c r="M29" i="2" s="1"/>
  <c r="M24" i="2"/>
  <c r="B2" i="6"/>
  <c r="B2" i="8"/>
  <c r="AB287" i="2"/>
  <c r="L41" i="2"/>
  <c r="M30" i="2" l="1"/>
  <c r="M31" i="2" s="1"/>
  <c r="L42" i="2"/>
  <c r="M35" i="2"/>
  <c r="Y413" i="2"/>
  <c r="L47" i="2"/>
  <c r="M36" i="2" l="1"/>
  <c r="M37" i="2" s="1"/>
  <c r="M38" i="2" s="1"/>
  <c r="M39" i="2" s="1"/>
  <c r="L48" i="2"/>
  <c r="M43" i="2"/>
  <c r="C55" i="4"/>
  <c r="C54" i="4"/>
  <c r="C52" i="4"/>
  <c r="C51" i="4"/>
  <c r="L56" i="2"/>
  <c r="M44" i="2" l="1"/>
  <c r="M45" i="2" s="1"/>
  <c r="L57" i="2"/>
  <c r="M49" i="2"/>
  <c r="M50" i="2" s="1"/>
  <c r="T281" i="2"/>
  <c r="P281" i="2"/>
  <c r="M51" i="2" l="1"/>
  <c r="M52" i="2" s="1"/>
  <c r="M53" i="2" s="1"/>
  <c r="M54" i="2" s="1"/>
  <c r="M58" i="2"/>
  <c r="AA413" i="2"/>
  <c r="S413" i="2" s="1"/>
  <c r="C1" i="5"/>
  <c r="N279" i="2"/>
  <c r="B11" i="5" s="1"/>
  <c r="M279" i="2"/>
  <c r="N278" i="2"/>
  <c r="B10" i="5" s="1"/>
  <c r="M278" i="2"/>
  <c r="N277" i="2"/>
  <c r="B9" i="5" s="1"/>
  <c r="M277" i="2"/>
  <c r="N276" i="2"/>
  <c r="B8" i="5" s="1"/>
  <c r="M276" i="2"/>
  <c r="N275" i="2"/>
  <c r="B7" i="5" s="1"/>
  <c r="M275" i="2"/>
  <c r="N274" i="2"/>
  <c r="B6" i="5" s="1"/>
  <c r="M274" i="2"/>
  <c r="N269" i="2"/>
  <c r="N268" i="2"/>
  <c r="N267" i="2"/>
  <c r="N266" i="2"/>
  <c r="N265" i="2"/>
  <c r="N264" i="2"/>
  <c r="M269" i="2"/>
  <c r="M268" i="2"/>
  <c r="M267" i="2"/>
  <c r="M266" i="2"/>
  <c r="M265" i="2"/>
  <c r="M264" i="2"/>
  <c r="L67" i="2"/>
  <c r="M59" i="2" l="1"/>
  <c r="M60" i="2" s="1"/>
  <c r="M61" i="2" s="1"/>
  <c r="M62" i="2" s="1"/>
  <c r="L68" i="2"/>
  <c r="T411" i="2"/>
  <c r="AD413" i="2"/>
  <c r="L72" i="2"/>
  <c r="L73" i="2" l="1"/>
  <c r="M69" i="2"/>
  <c r="M70" i="2" s="1"/>
  <c r="AD409" i="2"/>
  <c r="L78" i="2"/>
  <c r="L79" i="2" l="1"/>
  <c r="M74" i="2"/>
  <c r="M75" i="2" s="1"/>
  <c r="M76" i="2" s="1"/>
  <c r="G3" i="5"/>
  <c r="K3" i="5" s="1"/>
  <c r="O3" i="5" s="1"/>
  <c r="S3" i="5" s="1"/>
  <c r="W3" i="5" s="1"/>
  <c r="AA3" i="5" s="1"/>
  <c r="AE3" i="5" s="1"/>
  <c r="AI3" i="5" s="1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L85" i="2"/>
  <c r="L86" i="2" l="1"/>
  <c r="M80" i="2"/>
  <c r="M81" i="2" s="1"/>
  <c r="M82" i="2" s="1"/>
  <c r="M83" i="2" s="1"/>
  <c r="N340" i="2"/>
  <c r="N339" i="2"/>
  <c r="N338" i="2"/>
  <c r="W262" i="2"/>
  <c r="B262" i="2" s="1"/>
  <c r="M87" i="2" l="1"/>
  <c r="M88" i="2" s="1"/>
  <c r="M89" i="2" s="1"/>
  <c r="M90" i="2" s="1"/>
  <c r="M91" i="2" s="1"/>
  <c r="M92" i="2" s="1"/>
  <c r="M93" i="2" s="1"/>
  <c r="M3" i="2"/>
  <c r="L98" i="2"/>
  <c r="L99" i="2" l="1"/>
  <c r="N3" i="2"/>
  <c r="M100" i="2" l="1"/>
  <c r="M101" i="2" s="1"/>
  <c r="M102" i="2" s="1"/>
  <c r="M103" i="2" s="1"/>
  <c r="S65" i="2"/>
  <c r="O265" i="2" s="1"/>
  <c r="P265" i="2" s="1"/>
  <c r="S12" i="2"/>
  <c r="O264" i="2" s="1"/>
  <c r="L105" i="2"/>
  <c r="L106" i="2" l="1"/>
  <c r="W265" i="2"/>
  <c r="P264" i="2"/>
  <c r="P274" i="2" s="1"/>
  <c r="O275" i="2" s="1"/>
  <c r="W264" i="2"/>
  <c r="L113" i="2"/>
  <c r="L114" i="2" l="1"/>
  <c r="M107" i="2"/>
  <c r="M108" i="2" s="1"/>
  <c r="M109" i="2" s="1"/>
  <c r="M110" i="2" s="1"/>
  <c r="P275" i="2"/>
  <c r="O276" i="2" s="1"/>
  <c r="L118" i="2"/>
  <c r="L119" i="2" l="1"/>
  <c r="M115" i="2"/>
  <c r="M116" i="2" s="1"/>
  <c r="S409" i="2"/>
  <c r="L122" i="2"/>
  <c r="L123" i="2" l="1"/>
  <c r="M120" i="2"/>
  <c r="S96" i="2"/>
  <c r="O266" i="2" s="1"/>
  <c r="L126" i="2"/>
  <c r="L127" i="2" l="1"/>
  <c r="M124" i="2"/>
  <c r="T221" i="2"/>
  <c r="P266" i="2"/>
  <c r="P276" i="2" s="1"/>
  <c r="O277" i="2" s="1"/>
  <c r="W266" i="2"/>
  <c r="L130" i="2"/>
  <c r="L131" i="2" l="1"/>
  <c r="M128" i="2"/>
  <c r="S172" i="2"/>
  <c r="O267" i="2" s="1"/>
  <c r="T217" i="2"/>
  <c r="S210" i="2" s="1"/>
  <c r="O268" i="2" s="1"/>
  <c r="L135" i="2"/>
  <c r="L136" i="2" l="1"/>
  <c r="M132" i="2"/>
  <c r="X237" i="2"/>
  <c r="Y237" i="2" s="1"/>
  <c r="AA237" i="2" s="1"/>
  <c r="S237" i="2" s="1"/>
  <c r="W267" i="2"/>
  <c r="P267" i="2"/>
  <c r="P277" i="2" s="1"/>
  <c r="O278" i="2" s="1"/>
  <c r="P268" i="2"/>
  <c r="W268" i="2"/>
  <c r="L141" i="2"/>
  <c r="L142" i="2" l="1"/>
  <c r="M143" i="2" s="1"/>
  <c r="M144" i="2" s="1"/>
  <c r="M137" i="2"/>
  <c r="M138" i="2" s="1"/>
  <c r="M139" i="2" s="1"/>
  <c r="AD237" i="2"/>
  <c r="T3" i="2" s="1"/>
  <c r="T235" i="2"/>
  <c r="S233" i="2" s="1"/>
  <c r="O269" i="2" s="1"/>
  <c r="P278" i="2"/>
  <c r="O279" i="2" s="1"/>
  <c r="L147" i="2"/>
  <c r="L148" i="2" l="1"/>
  <c r="O270" i="2"/>
  <c r="W269" i="2"/>
  <c r="W270" i="2" s="1"/>
  <c r="P255" i="2" s="1"/>
  <c r="P269" i="2"/>
  <c r="P270" i="2" s="1"/>
  <c r="L151" i="2"/>
  <c r="L152" i="2" l="1"/>
  <c r="M149" i="2"/>
  <c r="N5" i="2"/>
  <c r="P279" i="2"/>
  <c r="T280" i="2" s="1"/>
  <c r="O255" i="2"/>
  <c r="N299" i="2"/>
  <c r="S240" i="2"/>
  <c r="L156" i="2"/>
  <c r="L157" i="2" l="1"/>
  <c r="M153" i="2"/>
  <c r="P280" i="2"/>
  <c r="N6" i="2" s="1"/>
  <c r="L161" i="2"/>
  <c r="L162" i="2" l="1"/>
  <c r="M158" i="2"/>
  <c r="M159" i="2" s="1"/>
  <c r="M163" i="2"/>
  <c r="L166" i="2"/>
  <c r="L175" i="2"/>
  <c r="L176" i="2" l="1"/>
  <c r="L167" i="2"/>
  <c r="M168" i="2" s="1"/>
  <c r="M169" i="2" s="1"/>
  <c r="L181" i="2"/>
  <c r="L182" i="2" l="1"/>
  <c r="M177" i="2"/>
  <c r="M178" i="2" s="1"/>
  <c r="L188" i="2"/>
  <c r="L189" i="2" l="1"/>
  <c r="M183" i="2"/>
  <c r="M184" i="2" s="1"/>
  <c r="M185" i="2" s="1"/>
  <c r="M186" i="2" s="1"/>
  <c r="M190" i="2"/>
  <c r="M191" i="2" s="1"/>
  <c r="L193" i="2"/>
  <c r="L194" i="2" l="1"/>
  <c r="L200" i="2"/>
  <c r="L212" i="2"/>
  <c r="L213" i="2" l="1"/>
  <c r="L201" i="2"/>
  <c r="M202" i="2" s="1"/>
  <c r="M203" i="2" s="1"/>
  <c r="M204" i="2" s="1"/>
  <c r="M205" i="2" s="1"/>
  <c r="M206" i="2" s="1"/>
  <c r="M207" i="2" s="1"/>
  <c r="M195" i="2"/>
  <c r="M196" i="2" s="1"/>
  <c r="M197" i="2" s="1"/>
  <c r="M198" i="2" s="1"/>
  <c r="M214" i="2"/>
  <c r="M215" i="2" s="1"/>
  <c r="L217" i="2"/>
  <c r="L411" i="2"/>
  <c r="L218" i="2" l="1"/>
  <c r="M219" i="2" s="1"/>
  <c r="L412" i="2"/>
  <c r="M413" i="2" s="1"/>
  <c r="L221" i="2"/>
  <c r="L222" i="2" l="1"/>
  <c r="M223" i="2"/>
  <c r="L225" i="2"/>
  <c r="L235" i="2"/>
  <c r="L236" i="2" l="1"/>
  <c r="M237" i="2" s="1"/>
  <c r="L226" i="2"/>
  <c r="M227" i="2" s="1"/>
  <c r="M228" i="2" s="1"/>
  <c r="M229" i="2" s="1"/>
  <c r="M230" i="2" s="1"/>
</calcChain>
</file>

<file path=xl/sharedStrings.xml><?xml version="1.0" encoding="utf-8"?>
<sst xmlns="http://schemas.openxmlformats.org/spreadsheetml/2006/main" count="1374" uniqueCount="631">
  <si>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</si>
  <si>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</si>
  <si>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</si>
  <si>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</si>
  <si>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</si>
  <si>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</si>
  <si>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</si>
  <si>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</si>
  <si>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</si>
  <si>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</si>
  <si>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</si>
  <si>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</si>
  <si>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</si>
  <si>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</si>
  <si>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</si>
  <si>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</si>
  <si>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</si>
  <si>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</si>
  <si>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</si>
  <si>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</si>
  <si>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</si>
  <si>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</si>
  <si>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</si>
  <si>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</si>
  <si>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</si>
  <si>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</si>
  <si>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</si>
  <si>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</si>
  <si>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</si>
  <si>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</si>
  <si>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</si>
  <si>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</si>
  <si>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</si>
  <si>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</si>
  <si>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</si>
  <si>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</si>
  <si>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</si>
  <si>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</si>
  <si>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</si>
  <si>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</si>
  <si>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</si>
  <si>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</si>
  <si>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</si>
  <si>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</si>
  <si>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</si>
  <si>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</si>
  <si>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</si>
  <si>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</si>
  <si>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</si>
  <si>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</si>
  <si>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</si>
  <si>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</si>
  <si>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</si>
  <si>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</si>
  <si>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</si>
  <si>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</si>
  <si>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</si>
  <si>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</si>
  <si>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</si>
  <si>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</si>
  <si>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</si>
  <si>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</si>
  <si>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</si>
  <si>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</si>
  <si>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</si>
  <si>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</si>
  <si>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</si>
  <si>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</si>
  <si>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</si>
  <si>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</si>
  <si>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</si>
  <si>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</si>
  <si>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</si>
  <si>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</si>
  <si>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</si>
  <si>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</si>
  <si>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</si>
  <si>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</si>
  <si>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</si>
  <si>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</si>
  <si>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</si>
  <si>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</si>
  <si>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</si>
  <si>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</si>
  <si>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</si>
  <si>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</si>
  <si>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</si>
  <si>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</si>
  <si>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</si>
  <si>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</si>
  <si>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</si>
  <si>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</si>
  <si>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</si>
  <si>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</si>
  <si>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</si>
  <si>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</si>
  <si>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</si>
  <si>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</si>
  <si>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</si>
  <si>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</si>
  <si>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</si>
  <si>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</si>
  <si>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</si>
  <si>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</si>
  <si>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</si>
  <si>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</si>
  <si>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</si>
  <si>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</si>
  <si>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</si>
  <si>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</si>
  <si>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</si>
  <si>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</si>
  <si>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</si>
  <si>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</si>
  <si>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</si>
  <si>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</si>
  <si>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</si>
  <si>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</si>
  <si>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</si>
  <si>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</si>
  <si>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</si>
  <si>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</si>
  <si>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</si>
  <si>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</si>
  <si>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</si>
  <si>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</si>
  <si>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</si>
  <si>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</si>
  <si>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</si>
  <si>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</si>
  <si>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</si>
  <si>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</si>
  <si>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</si>
  <si>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</si>
  <si>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</si>
  <si>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</si>
  <si>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</si>
  <si>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</si>
  <si>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</si>
  <si>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</si>
  <si>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</si>
  <si>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</si>
  <si>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</si>
  <si>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</si>
  <si>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</si>
  <si>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</si>
  <si>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</si>
  <si>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</si>
  <si>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</si>
  <si>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</si>
  <si>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</si>
  <si>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</si>
  <si>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</si>
  <si>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</si>
  <si>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</si>
  <si>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</si>
  <si>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</si>
  <si>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</si>
  <si>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</si>
  <si>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</si>
  <si>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</si>
  <si>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</si>
  <si>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</si>
  <si>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</si>
  <si>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</si>
  <si>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</si>
  <si>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</si>
  <si>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</si>
  <si>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</si>
  <si>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</si>
  <si>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</si>
  <si>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</si>
  <si>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</si>
  <si>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</si>
  <si>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</si>
  <si>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</si>
  <si>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</si>
  <si>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</si>
  <si>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</si>
  <si>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</si>
  <si>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</si>
  <si>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</si>
  <si>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</si>
  <si>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</si>
  <si>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</si>
  <si>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</si>
  <si>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</si>
  <si>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</si>
  <si>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</si>
  <si>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TA Name</t>
  </si>
  <si>
    <t>A/c Manager Name</t>
  </si>
  <si>
    <t>Presales Member Name</t>
  </si>
  <si>
    <t>(Uses manual duration)</t>
  </si>
  <si>
    <t>(Do not use inside development phase)</t>
  </si>
  <si>
    <t>Note: This does not takes care of optimized parallel execution of tasks. For that manual scheduling will be required, which can be / done on next sheet.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</si>
  <si>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</si>
  <si>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</si>
  <si>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</si>
  <si>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</si>
  <si>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</si>
  <si>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</si>
  <si>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</si>
  <si>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</si>
  <si>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</si>
  <si>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</si>
  <si>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</si>
  <si>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</si>
  <si>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</si>
  <si>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</si>
  <si>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</si>
  <si>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</si>
  <si>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</si>
  <si>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</si>
  <si>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</si>
  <si>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</si>
  <si>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</si>
  <si>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</si>
  <si>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</si>
  <si>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</si>
  <si>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</si>
  <si>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</si>
  <si>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</si>
  <si>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</si>
  <si>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</si>
  <si>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</si>
  <si>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</si>
  <si>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</si>
  <si>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</si>
  <si>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</si>
  <si>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</si>
  <si>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</si>
  <si>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</si>
  <si>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</si>
  <si>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</si>
  <si>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</si>
  <si>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</si>
  <si>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</si>
  <si>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</si>
  <si>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</si>
  <si>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</si>
  <si>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</si>
  <si>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</si>
  <si>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</si>
  <si>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</si>
  <si>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</si>
  <si>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</si>
  <si>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</si>
  <si>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</si>
  <si>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</si>
  <si>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</si>
  <si>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</si>
  <si>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</si>
  <si>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</si>
  <si>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</si>
  <si>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</si>
  <si>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</si>
  <si>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</si>
  <si>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</si>
  <si>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</si>
  <si>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</si>
  <si>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</si>
  <si>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</si>
  <si>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</si>
  <si>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</si>
  <si>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</si>
  <si>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</si>
  <si>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</si>
  <si>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</si>
  <si>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</si>
  <si>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</si>
  <si>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</si>
  <si>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</si>
  <si>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</si>
  <si>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</si>
  <si>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</si>
  <si>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</si>
  <si>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</si>
  <si>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</si>
  <si>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</si>
  <si>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</si>
  <si>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</si>
  <si>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</si>
  <si>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</si>
  <si>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</si>
  <si>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</si>
  <si>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</si>
  <si>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</si>
  <si>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</si>
  <si>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</si>
  <si>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</si>
  <si>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</si>
  <si>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</si>
  <si>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</si>
  <si>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</si>
  <si>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</si>
  <si>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</si>
  <si>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</si>
  <si>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</si>
  <si>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</si>
  <si>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</si>
  <si>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</si>
  <si>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</si>
  <si>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</si>
  <si>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</si>
  <si>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</si>
  <si>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</si>
  <si>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</si>
  <si>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</si>
  <si>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</si>
  <si>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</si>
  <si>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</si>
  <si>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</si>
  <si>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</si>
  <si>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</si>
  <si>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</si>
  <si>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</si>
  <si>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</si>
  <si>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</si>
  <si>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</si>
  <si>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</si>
  <si>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</si>
  <si>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</si>
  <si>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</si>
  <si>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</si>
  <si>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</si>
  <si>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</si>
  <si>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</si>
  <si>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</si>
  <si>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</si>
  <si>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</si>
  <si>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</si>
  <si>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</si>
  <si>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</si>
  <si>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</si>
  <si>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</si>
  <si>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</si>
  <si>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</si>
  <si>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</si>
  <si>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</si>
  <si>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</si>
  <si>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</si>
  <si>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</si>
  <si>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</si>
  <si>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</si>
  <si>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</si>
  <si>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</si>
  <si>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</si>
  <si>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</si>
  <si>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</si>
  <si>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</si>
  <si>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</si>
  <si>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</si>
  <si>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</si>
  <si>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</si>
  <si>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</si>
  <si>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</si>
  <si>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</si>
  <si>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</si>
  <si>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</si>
  <si>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</si>
  <si>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</si>
  <si>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</si>
  <si>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</si>
  <si>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</si>
  <si>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</si>
  <si>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</si>
  <si>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</si>
  <si>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</si>
  <si>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</si>
  <si>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</si>
  <si>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</si>
  <si>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</si>
  <si>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</si>
  <si>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</si>
  <si>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</si>
  <si>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</si>
  <si>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</si>
  <si>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</si>
  <si>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</si>
  <si>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</si>
  <si>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</si>
  <si>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</si>
  <si>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</si>
  <si>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</si>
  <si>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</si>
  <si>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</si>
  <si>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</si>
  <si>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</si>
  <si>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</si>
  <si>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</si>
  <si>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</si>
  <si>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</si>
  <si>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</si>
  <si>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</si>
  <si>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</si>
  <si>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</si>
  <si>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</si>
  <si>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</si>
  <si>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</si>
  <si>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</si>
  <si>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</si>
  <si>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</si>
  <si>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</si>
  <si>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</si>
  <si>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</si>
  <si>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</si>
  <si>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</si>
  <si>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</si>
  <si>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</si>
  <si>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</si>
  <si>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</si>
  <si>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</si>
  <si>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</si>
  <si>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</si>
  <si>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</si>
  <si>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</si>
  <si>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</si>
  <si>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</si>
  <si>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</si>
  <si>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</si>
  <si>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</si>
  <si>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</si>
  <si>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</si>
  <si>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</si>
  <si>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</si>
  <si>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</si>
  <si>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</si>
  <si>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</si>
  <si>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</si>
  <si>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</si>
  <si>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</si>
  <si>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</si>
  <si>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</si>
  <si>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</si>
  <si>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</si>
  <si>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</si>
  <si>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</si>
  <si>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</si>
  <si>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</si>
  <si>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</si>
  <si>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</si>
  <si>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</si>
  <si>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</si>
  <si>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</si>
  <si>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Out of scope / Assumptions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</si>
  <si>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</si>
  <si>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</si>
  <si>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</si>
  <si>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Development environment and team ramp-up</t>
  </si>
  <si>
    <t>Shared/core tasks</t>
  </si>
  <si>
    <t>Data Migration</t>
  </si>
  <si>
    <t>Data Migration ETL Process</t>
  </si>
  <si>
    <t>Data Migration Execution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</si>
  <si>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</si>
  <si>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</si>
  <si>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</si>
  <si>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</si>
  <si>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</si>
  <si>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</si>
  <si>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Analysis of existing system architecture</t>
  </si>
  <si>
    <t>Requirement analysis</t>
  </si>
  <si>
    <t>Analysis for new business requirements</t>
  </si>
  <si>
    <t>Business process re-engineering
&gt;&gt; Analysis to optimize existing business processes and workflows.</t>
  </si>
  <si>
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</si>
  <si>
    <t>Usability Analysis
&gt;&gt; Analysis for information flow architecture and usability considerations</t>
  </si>
  <si>
    <t>Review and Sign-off
&gt;&gt; Client review iterations and sign-off on SRS and Mock-ups</t>
  </si>
  <si>
    <t>POCs</t>
  </si>
  <si>
    <t>Application framework construction</t>
  </si>
  <si>
    <t>Functional test cases preparation and review</t>
  </si>
  <si>
    <t>Analysis of existing application(s) design</t>
  </si>
  <si>
    <t>Analysis of existing database(s)</t>
  </si>
  <si>
    <t>Tables</t>
  </si>
  <si>
    <t xml:space="preserve">High Level Analysis and design document preparation
</t>
  </si>
  <si>
    <t xml:space="preserve">Low level analysis and design document preparation
</t>
  </si>
  <si>
    <t>Database design and analysis document preparation
&gt;&gt; Data Dictionary etc.</t>
  </si>
  <si>
    <t>Review and Sign-off
&gt;&gt; Client review iterations and sign-off on design documents</t>
  </si>
  <si>
    <t>Design Analysis and Documentation</t>
  </si>
  <si>
    <t>X-cutting layers
&gt;&gt; Logging, Exception handling, caching, notification, etc.</t>
  </si>
  <si>
    <t>Security
&gt;&gt; Authentication, authorization framework</t>
  </si>
  <si>
    <t>Schedular service</t>
  </si>
  <si>
    <t>UI Navigation framework</t>
  </si>
  <si>
    <t>Workflow management framework</t>
  </si>
  <si>
    <t>Testing strategy and planning</t>
  </si>
  <si>
    <t>Test cases preparation (Manual)
&gt;&gt; For system and integration testing</t>
  </si>
  <si>
    <t>Test cases preparation (Automated)
&gt;&gt; Automated test scripts</t>
  </si>
  <si>
    <t>Review and Sign-off
&gt;&gt; Client review iterations and sign-off on test cases</t>
  </si>
  <si>
    <t>&gt;&gt; Valid only in case of mannual testing
&gt;&gt; Mutually exclusive with 5.3</t>
  </si>
  <si>
    <t>&gt;&gt; Valid only in case of automated testing
&gt;&gt; Mutually exclusive with 5.2</t>
  </si>
  <si>
    <t>Test Cases</t>
  </si>
  <si>
    <t>SRS knowledge transfer to team members</t>
  </si>
  <si>
    <t>Design knowledge transfer to team members</t>
  </si>
  <si>
    <t>Application framework knowledge transfer to team members</t>
  </si>
  <si>
    <t>Development environment setup</t>
  </si>
  <si>
    <t>Screen: Login (authentication process)</t>
  </si>
  <si>
    <t>Functionality: Authorization engine</t>
  </si>
  <si>
    <t>&gt;&gt; From older to new SQL Server DB
&gt;&gt; Master Script</t>
  </si>
  <si>
    <t>&gt;&gt; From older to new database
&gt;&gt; ETL Process and data de-duplication</t>
  </si>
  <si>
    <t>Functional test cases execution</t>
  </si>
  <si>
    <t>Testing environment setup</t>
  </si>
  <si>
    <t>Test case execution
&gt;&gt; Testing, logs and reports</t>
  </si>
  <si>
    <t>Performance testing</t>
  </si>
  <si>
    <t>Performance testing environment setup</t>
  </si>
  <si>
    <t>Scripts preparation</t>
  </si>
  <si>
    <t>Scripts execution</t>
  </si>
  <si>
    <t>Reports preparation</t>
  </si>
  <si>
    <t>Environments</t>
  </si>
  <si>
    <t>Other Testing</t>
  </si>
  <si>
    <t>Multi-lingual testing</t>
  </si>
  <si>
    <t>Data migration testing</t>
  </si>
  <si>
    <t>Multi-browser testing</t>
  </si>
  <si>
    <t>Multi-device testing</t>
  </si>
  <si>
    <t>System Stabilization</t>
  </si>
  <si>
    <t>Performance tuning</t>
  </si>
  <si>
    <t>Bug fixing</t>
  </si>
  <si>
    <t>Staging releases (partial)</t>
  </si>
  <si>
    <t>Interim demos</t>
  </si>
  <si>
    <t>Interim staging releases
&gt;&gt; Preparation of release notes, installer, builds, etc.</t>
  </si>
  <si>
    <t>UAT Release (Full)</t>
  </si>
  <si>
    <t>UAT release
&gt;&gt; Preparation of release notes, installer, builds, etc.
&gt;&gt; UNIT: Total No. of Resources x N UAT cycle</t>
  </si>
  <si>
    <t>Releases</t>
  </si>
  <si>
    <t>Demos</t>
  </si>
  <si>
    <t>Production Release (Full)</t>
  </si>
  <si>
    <t>Final production release
&gt;&gt; Preparation of release notes, installer, builds, etc.</t>
  </si>
  <si>
    <t>Documentation and training</t>
  </si>
  <si>
    <t>Deployment document</t>
  </si>
  <si>
    <t>Training Plan and artifacts</t>
  </si>
  <si>
    <t>User manual</t>
  </si>
  <si>
    <t>Train the trainer sessions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</si>
  <si>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</si>
  <si>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</si>
  <si>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</si>
  <si>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</si>
  <si>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</si>
  <si>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Resources
Weeks</t>
  </si>
  <si>
    <t>2 Resources for 4 weeks of 5 days each.</t>
  </si>
  <si>
    <t>1 Resource for 2 weeks of 5 days each.</t>
  </si>
  <si>
    <t>PM Effort</t>
  </si>
  <si>
    <t>Project management effort</t>
  </si>
  <si>
    <t>Percentage</t>
  </si>
  <si>
    <t>AG Estimation Template -  Version</t>
  </si>
  <si>
    <t>Mohit Bhardwaj</t>
  </si>
  <si>
    <t>Create User Profiles, User Journeys</t>
  </si>
  <si>
    <t xml:space="preserve">Business process understanding and verification
&gt;&gt; </t>
  </si>
  <si>
    <t>Audit</t>
  </si>
  <si>
    <t>Requirement Documentation and Review</t>
  </si>
  <si>
    <t>Information Architecture</t>
  </si>
  <si>
    <t>Prototyping Visual designs</t>
  </si>
  <si>
    <t xml:space="preserve">Understand Stakeholder Requirements, Data Analysis
&gt;&gt; Stakeholders Interviews (Business, Technology, Design)
&gt;&gt; Document interview findings, data analysis
&gt;&gt; Client Presentation (Stakeholder Interviews, Analysis)
</t>
  </si>
  <si>
    <t>Based on Total Use Cases
(Filled automatically)</t>
  </si>
  <si>
    <t>Project Plan and Kick off
&gt;&gt; Team Introductions, Revise Project Schedule, Set Expectations</t>
  </si>
  <si>
    <t>Prepare Guide and Interview Users 
&gt;&gt; 10-12) Users</t>
  </si>
  <si>
    <t xml:space="preserve">Create User Profiles &amp; Personas </t>
  </si>
  <si>
    <t>Create User Journeys</t>
  </si>
  <si>
    <t>Client Presentation, review and Sign-off
&gt;&gt; Client review iterations and sign-off user profiles, personas &amp; journeys</t>
  </si>
  <si>
    <t>Iterations</t>
  </si>
  <si>
    <t>Competitor Analysis</t>
  </si>
  <si>
    <t>User Observaions</t>
  </si>
  <si>
    <t>Expert Review</t>
  </si>
  <si>
    <t>Task Anaysis</t>
  </si>
  <si>
    <t xml:space="preserve">Client Presentation, review and Sign-off
&gt;&gt; Review &amp; Analysis </t>
  </si>
  <si>
    <t>Card Sorting</t>
  </si>
  <si>
    <t>Create Site Map &amp; Content Inventory</t>
  </si>
  <si>
    <t>R1: Preliminary Wireframes (4-5)</t>
  </si>
  <si>
    <t>Reverse Card Sort</t>
  </si>
  <si>
    <t>R2: Detailed Wireframes + Interaction Tables (15-20)</t>
  </si>
  <si>
    <t>Review and Sign-off
&gt;&gt; Client review iterations and sign-off on Final Wireframes</t>
  </si>
  <si>
    <t>Create Preliminary Visual Design Compositions (3-4 templates)</t>
  </si>
  <si>
    <t>Create Click through mockups</t>
  </si>
  <si>
    <t>Click thorugh mockups using Axure</t>
  </si>
  <si>
    <t>Final Revisions</t>
  </si>
  <si>
    <t>Mockups</t>
  </si>
  <si>
    <t>This effort should be calculated by summing up all tasks/groups other than System Stabilization.</t>
  </si>
  <si>
    <t>Team Ramp up</t>
  </si>
  <si>
    <t>Requirement Analysis and Planning</t>
  </si>
  <si>
    <t>Requirement Study and Analysis</t>
  </si>
  <si>
    <t>Test Plan document
&gt;&gt; (Creation of test plan)</t>
  </si>
  <si>
    <t>Total Use Cases</t>
  </si>
  <si>
    <t>Test Preparation</t>
  </si>
  <si>
    <t>Name: Total Test Cases
# : Total Use case's
xN : Test case Per Use case</t>
  </si>
  <si>
    <t>Percentage of Test Cases</t>
  </si>
  <si>
    <t>How much percentage of test cases you are intended to execute</t>
  </si>
  <si>
    <t>15% test cases considered for Performance testing</t>
  </si>
  <si>
    <t>Languages
Screens</t>
  </si>
  <si>
    <t>Browsers
Screens</t>
  </si>
  <si>
    <t>Devices
Screens</t>
  </si>
  <si>
    <t>2.0.4</t>
  </si>
  <si>
    <t xml:space="preserve">Accessibility Testing </t>
  </si>
  <si>
    <t>Usability Testing</t>
  </si>
  <si>
    <t>Screens</t>
  </si>
  <si>
    <t>% of the Use cases</t>
  </si>
  <si>
    <t>Considered 2% of overall use cases.</t>
  </si>
  <si>
    <t>Ycompany</t>
  </si>
  <si>
    <t>Electronic Claims Processing</t>
  </si>
  <si>
    <t>Assumptions based on - Services(partner workshop, car rental), Data, Documents, Payment, insurance category, existing notification system</t>
  </si>
  <si>
    <t>Considering every point discussion needs close to 2 hours. May require 2 rounds of talks.</t>
  </si>
  <si>
    <t>Assumptions made for 10 personas</t>
  </si>
  <si>
    <t>Based on 4 visual design</t>
  </si>
  <si>
    <t>POC: Document Storage on Azure File Storage</t>
  </si>
  <si>
    <t>POC: Payment Gateway Integration</t>
  </si>
  <si>
    <t>POC: Data Analysis Tools</t>
  </si>
  <si>
    <t>Microservices architecture:
&gt;&gt; DAL, ORM, BLL, Façade, WPI&gt;&gt;
&gt;&gt; Communication design for microservices</t>
  </si>
  <si>
    <t>Integration with MediatR framework</t>
  </si>
  <si>
    <t>two service for reporting and data analysis</t>
  </si>
  <si>
    <t>Trello board or JIRA board</t>
  </si>
  <si>
    <t>Screen: Application Header/Footer/SideBars
and menu</t>
  </si>
  <si>
    <t>Functionality: Notification Services</t>
  </si>
  <si>
    <t>Customer Portal</t>
  </si>
  <si>
    <t>Screen: Customer Registration Screen and Web API</t>
  </si>
  <si>
    <t>Account Activation web api/landing screen after activation.</t>
  </si>
  <si>
    <t>Registration</t>
  </si>
  <si>
    <t>Profile</t>
  </si>
  <si>
    <t>Customer Profile screen with option of update
&gt;&gt; Address
&gt;&gt; Password
&gt;&gt; Billing cycle
&gt;&gt; Saved cards, bank account etc.</t>
  </si>
  <si>
    <t>Claim</t>
  </si>
  <si>
    <t>Partner Woskhop Service Provider</t>
  </si>
  <si>
    <t>Partner Service Provider Search screen
Parner service provider screen
&gt;&gt; Show nearest work station
&gt;&gt; Search work station functionality by region, state, city etc.</t>
  </si>
  <si>
    <t>Claim Tracking</t>
  </si>
  <si>
    <t>Claim screen
&gt;&gt; Submit claim
&gt;&gt; Upload document
&gt;&gt; Link to display previous claims</t>
  </si>
  <si>
    <t>Claim Tracker Screen
&gt;&gt; List of all claims 
&gt;&gt; Option of pay online
&gt;&gt; Track active claim</t>
  </si>
  <si>
    <t>Internal Portal</t>
  </si>
  <si>
    <t>Admin Screen</t>
  </si>
  <si>
    <t xml:space="preserve">&gt;&gt;Adds users with different kind of roles and area
&gt;&gt;Assign role and area to existing user
</t>
  </si>
  <si>
    <t>User Maintenance</t>
  </si>
  <si>
    <t>Reporting</t>
  </si>
  <si>
    <t>Case manager
&gt;&gt;Report of all claim assigned to case manager</t>
  </si>
  <si>
    <t>Regional Manager Report
&gt;&gt; Should be able to see details of assigned region</t>
  </si>
  <si>
    <t>Top management report
&gt;&gt; Comparision report based on region</t>
  </si>
  <si>
    <t>Incident Management</t>
  </si>
  <si>
    <t>Surveyor Screen</t>
  </si>
  <si>
    <t>Task activity
&gt;&gt; Should be able to upload assessmennt of assignd incident
&gt;&gt; System will send the notification to claim adjuster</t>
  </si>
  <si>
    <t>Claim Adjuster Screen</t>
  </si>
  <si>
    <t>Claims List Screen
&gt;&gt; Claims details screen
&gt;&gt; See supported document and reports
&gt;&gt; Adjust the claim amout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</si>
</sst>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45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top" wrapText="1"/>
    </xf>
    <xf numFmtId="0" fontId="2" fillId="3" borderId="1" xfId="0" applyFont="1" applyFill="1" applyBorder="1" applyAlignment="1" applyProtection="1">
      <alignment horizontal="center" vertical="top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0" xfId="0" applyFont="1" applyFill="1" applyAlignment="1" applyProtection="1">
      <alignment horizontal="center" vertical="top"/>
    </xf>
    <xf numFmtId="0" fontId="0" fillId="6" borderId="0" xfId="0" applyFill="1" applyBorder="1" applyAlignment="1" applyProtection="1">
      <alignment vertical="top"/>
    </xf>
    <xf numFmtId="0" fontId="0" fillId="6" borderId="0" xfId="0" applyFill="1" applyAlignment="1" applyProtection="1">
      <alignment vertical="top"/>
    </xf>
    <xf numFmtId="0" fontId="0" fillId="6" borderId="0" xfId="0" applyFill="1" applyAlignment="1" applyProtection="1">
      <alignment vertical="top" wrapText="1"/>
    </xf>
    <xf numFmtId="0" fontId="3" fillId="6" borderId="0" xfId="0" applyFont="1" applyFill="1" applyAlignment="1" applyProtection="1">
      <alignment vertical="top"/>
    </xf>
    <xf numFmtId="0" fontId="0" fillId="6" borderId="0" xfId="0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Border="1" applyAlignment="1" applyProtection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 applyProtection="1">
      <alignment vertical="center"/>
    </xf>
    <xf numFmtId="1" fontId="4" fillId="6" borderId="0" xfId="0" applyNumberFormat="1" applyFont="1" applyFill="1" applyBorder="1" applyAlignment="1" applyProtection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 applyProtection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vertical="top"/>
    </xf>
    <xf numFmtId="0" fontId="9" fillId="4" borderId="0" xfId="0" applyFont="1" applyFill="1" applyAlignment="1" applyProtection="1">
      <alignment vertical="top"/>
    </xf>
    <xf numFmtId="2" fontId="0" fillId="4" borderId="0" xfId="0" applyNumberFormat="1" applyFill="1" applyAlignment="1" applyProtection="1">
      <alignment vertical="top"/>
    </xf>
    <xf numFmtId="0" fontId="0" fillId="4" borderId="0" xfId="0" applyFill="1" applyAlignment="1" applyProtection="1">
      <alignment vertical="top" wrapText="1"/>
    </xf>
    <xf numFmtId="0" fontId="0" fillId="2" borderId="0" xfId="0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2" fontId="7" fillId="2" borderId="0" xfId="0" applyNumberFormat="1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 wrapText="1"/>
    </xf>
    <xf numFmtId="0" fontId="0" fillId="6" borderId="4" xfId="0" applyFill="1" applyBorder="1" applyAlignment="1" applyProtection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 applyProtection="1">
      <alignment vertical="top"/>
    </xf>
    <xf numFmtId="0" fontId="0" fillId="8" borderId="0" xfId="0" applyFill="1" applyAlignment="1" applyProtection="1">
      <alignment vertical="top" wrapText="1"/>
    </xf>
    <xf numFmtId="0" fontId="2" fillId="8" borderId="0" xfId="0" applyFont="1" applyFill="1" applyBorder="1" applyAlignment="1" applyProtection="1">
      <alignment vertical="top"/>
    </xf>
    <xf numFmtId="9" fontId="14" fillId="8" borderId="2" xfId="0" applyNumberFormat="1" applyFont="1" applyFill="1" applyBorder="1" applyAlignment="1" applyProtection="1">
      <alignment vertical="top"/>
    </xf>
    <xf numFmtId="0" fontId="0" fillId="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 applyProtection="1">
      <alignment horizontal="center" vertical="top"/>
    </xf>
    <xf numFmtId="0" fontId="2" fillId="8" borderId="17" xfId="0" applyFont="1" applyFill="1" applyBorder="1" applyAlignment="1" applyProtection="1">
      <alignment horizontal="center" vertical="top"/>
    </xf>
    <xf numFmtId="0" fontId="0" fillId="8" borderId="1" xfId="0" applyFill="1" applyBorder="1" applyAlignment="1" applyProtection="1">
      <alignment vertical="top"/>
    </xf>
    <xf numFmtId="0" fontId="2" fillId="3" borderId="17" xfId="0" applyFont="1" applyFill="1" applyBorder="1" applyAlignment="1" applyProtection="1">
      <alignment horizontal="center" vertical="top"/>
    </xf>
    <xf numFmtId="0" fontId="2" fillId="3" borderId="19" xfId="0" applyFont="1" applyFill="1" applyBorder="1" applyAlignment="1" applyProtection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Border="1" applyAlignment="1" applyProtection="1">
      <alignment vertical="center"/>
      <protection locked="0"/>
    </xf>
    <xf numFmtId="0" fontId="5" fillId="10" borderId="0" xfId="0" applyFont="1" applyFill="1" applyBorder="1" applyAlignment="1" applyProtection="1">
      <alignment vertical="center" wrapText="1"/>
      <protection locked="0"/>
    </xf>
    <xf numFmtId="0" fontId="5" fillId="10" borderId="0" xfId="0" applyFont="1" applyFill="1" applyBorder="1" applyAlignment="1" applyProtection="1">
      <alignment vertical="center" wrapText="1"/>
    </xf>
    <xf numFmtId="0" fontId="5" fillId="10" borderId="0" xfId="0" applyFont="1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top"/>
    </xf>
    <xf numFmtId="0" fontId="0" fillId="6" borderId="0" xfId="0" applyFill="1" applyBorder="1" applyAlignment="1" applyProtection="1">
      <alignment vertical="top" wrapText="1"/>
    </xf>
    <xf numFmtId="0" fontId="0" fillId="10" borderId="0" xfId="0" applyFill="1" applyBorder="1" applyAlignment="1" applyProtection="1">
      <alignment vertical="top"/>
    </xf>
    <xf numFmtId="0" fontId="0" fillId="10" borderId="0" xfId="0" applyFill="1" applyBorder="1" applyAlignment="1" applyProtection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 applyProtection="1">
      <alignment vertical="top"/>
    </xf>
    <xf numFmtId="1" fontId="18" fillId="4" borderId="0" xfId="0" applyNumberFormat="1" applyFont="1" applyFill="1" applyAlignment="1" applyProtection="1">
      <alignment vertical="top"/>
    </xf>
    <xf numFmtId="0" fontId="9" fillId="4" borderId="0" xfId="0" applyFont="1" applyFill="1" applyAlignment="1" applyProtection="1">
      <alignment vertical="top"/>
      <protection locked="0"/>
    </xf>
    <xf numFmtId="0" fontId="0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Border="1" applyAlignment="1" applyProtection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 applyProtection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ont="1" applyFill="1" applyAlignment="1" applyProtection="1">
      <alignment vertical="top" wrapText="1"/>
    </xf>
    <xf numFmtId="0" fontId="15" fillId="7" borderId="0" xfId="0" applyFont="1" applyFill="1" applyBorder="1" applyAlignment="1" applyProtection="1">
      <alignment horizontal="center" vertical="top"/>
    </xf>
    <xf numFmtId="0" fontId="15" fillId="7" borderId="0" xfId="0" applyFont="1" applyFill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top"/>
    </xf>
    <xf numFmtId="0" fontId="27" fillId="7" borderId="0" xfId="0" applyFont="1" applyFill="1" applyAlignment="1" applyProtection="1">
      <alignment horizontal="center" vertical="center"/>
    </xf>
    <xf numFmtId="0" fontId="27" fillId="7" borderId="0" xfId="0" applyFont="1" applyFill="1" applyBorder="1" applyAlignment="1" applyProtection="1">
      <alignment horizontal="center" vertical="center"/>
    </xf>
    <xf numFmtId="0" fontId="28" fillId="7" borderId="0" xfId="0" applyFont="1" applyFill="1" applyBorder="1" applyAlignment="1" applyProtection="1">
      <alignment horizontal="center" vertical="center"/>
    </xf>
    <xf numFmtId="0" fontId="29" fillId="7" borderId="0" xfId="0" applyFont="1" applyFill="1" applyAlignment="1" applyProtection="1">
      <alignment horizontal="center" vertical="center"/>
    </xf>
    <xf numFmtId="0" fontId="29" fillId="7" borderId="0" xfId="0" applyFont="1" applyFill="1" applyBorder="1" applyAlignment="1" applyProtection="1">
      <alignment horizontal="center" vertical="top"/>
    </xf>
    <xf numFmtId="0" fontId="28" fillId="7" borderId="0" xfId="0" applyFont="1" applyFill="1" applyBorder="1" applyAlignment="1" applyProtection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 applyProtection="1">
      <alignment vertical="center"/>
    </xf>
    <xf numFmtId="2" fontId="7" fillId="13" borderId="0" xfId="0" applyNumberFormat="1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Border="1" applyAlignment="1" applyProtection="1">
      <alignment horizontal="center" vertical="top" textRotation="90"/>
    </xf>
    <xf numFmtId="0" fontId="31" fillId="11" borderId="0" xfId="0" applyFont="1" applyFill="1" applyAlignment="1" applyProtection="1">
      <alignment horizontal="center" vertical="top" textRotation="90"/>
    </xf>
    <xf numFmtId="0" fontId="0" fillId="14" borderId="0" xfId="0" applyFill="1" applyAlignment="1" applyProtection="1">
      <alignment vertical="top"/>
    </xf>
    <xf numFmtId="0" fontId="12" fillId="14" borderId="0" xfId="0" applyFont="1" applyFill="1" applyAlignment="1" applyProtection="1">
      <alignment vertical="top"/>
    </xf>
    <xf numFmtId="0" fontId="24" fillId="14" borderId="0" xfId="0" applyFont="1" applyFill="1" applyBorder="1" applyAlignment="1" applyProtection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0" fontId="0" fillId="4" borderId="0" xfId="0" applyFill="1" applyBorder="1" applyAlignment="1" applyProtection="1">
      <alignment vertical="top" wrapText="1"/>
      <protection locked="0"/>
    </xf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 wrapText="1"/>
    </xf>
    <xf numFmtId="166" fontId="0" fillId="4" borderId="13" xfId="0" applyNumberFormat="1" applyFill="1" applyBorder="1" applyAlignment="1" applyProtection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 applyProtection="1">
      <alignment horizontal="right" vertical="top" wrapText="1"/>
    </xf>
    <xf numFmtId="0" fontId="2" fillId="4" borderId="22" xfId="0" applyFont="1" applyFill="1" applyBorder="1" applyAlignment="1" applyProtection="1">
      <alignment horizontal="right" vertical="top"/>
    </xf>
    <xf numFmtId="15" fontId="0" fillId="4" borderId="10" xfId="0" applyNumberFormat="1" applyFill="1" applyBorder="1" applyAlignment="1" applyProtection="1">
      <alignment vertical="top" wrapText="1"/>
    </xf>
    <xf numFmtId="15" fontId="0" fillId="4" borderId="13" xfId="0" applyNumberFormat="1" applyFill="1" applyBorder="1" applyAlignment="1" applyProtection="1">
      <alignment vertical="top" wrapText="1"/>
    </xf>
    <xf numFmtId="15" fontId="0" fillId="4" borderId="18" xfId="0" applyNumberFormat="1" applyFill="1" applyBorder="1" applyAlignment="1" applyProtection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Border="1" applyAlignment="1" applyProtection="1">
      <alignment horizontal="right" vertical="top"/>
    </xf>
    <xf numFmtId="0" fontId="18" fillId="4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top"/>
    </xf>
    <xf numFmtId="0" fontId="36" fillId="19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center"/>
    </xf>
    <xf numFmtId="15" fontId="2" fillId="4" borderId="12" xfId="0" applyNumberFormat="1" applyFont="1" applyFill="1" applyBorder="1" applyAlignment="1" applyProtection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Border="1" applyAlignment="1" applyProtection="1">
      <alignment vertical="top"/>
    </xf>
    <xf numFmtId="0" fontId="37" fillId="19" borderId="0" xfId="0" applyFont="1" applyFill="1" applyBorder="1" applyAlignment="1" applyProtection="1">
      <alignment vertical="top"/>
    </xf>
    <xf numFmtId="1" fontId="38" fillId="19" borderId="0" xfId="0" applyNumberFormat="1" applyFont="1" applyFill="1" applyBorder="1" applyAlignment="1" applyProtection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Border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 applyProtection="1">
      <alignment vertical="top"/>
    </xf>
    <xf numFmtId="0" fontId="0" fillId="4" borderId="0" xfId="0" applyFill="1" applyAlignment="1" applyProtection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 applyProtection="1">
      <alignment vertical="top"/>
    </xf>
    <xf numFmtId="0" fontId="42" fillId="4" borderId="0" xfId="0" applyFont="1" applyFill="1" applyAlignment="1" applyProtection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vertical="center"/>
    </xf>
    <xf numFmtId="0" fontId="0" fillId="23" borderId="0" xfId="0" applyFill="1" applyAlignment="1" applyProtection="1">
      <alignment vertical="top"/>
    </xf>
    <xf numFmtId="0" fontId="12" fillId="23" borderId="0" xfId="0" applyFont="1" applyFill="1" applyAlignment="1" applyProtection="1">
      <alignment vertical="top"/>
    </xf>
    <xf numFmtId="0" fontId="13" fillId="15" borderId="0" xfId="0" applyFont="1" applyFill="1" applyAlignment="1" applyProtection="1">
      <alignment vertical="center"/>
    </xf>
    <xf numFmtId="0" fontId="50" fillId="14" borderId="4" xfId="0" applyFont="1" applyFill="1" applyBorder="1" applyAlignment="1" applyProtection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 applyProtection="1">
      <alignment horizontal="left" vertical="top" indent="1"/>
    </xf>
    <xf numFmtId="0" fontId="0" fillId="5" borderId="0" xfId="0" applyFill="1" applyProtection="1">
      <protection locked="0"/>
    </xf>
    <xf numFmtId="0" fontId="0" fillId="5" borderId="0" xfId="0" applyFont="1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Border="1" applyAlignment="1">
      <alignment horizontal="right"/>
    </xf>
    <xf numFmtId="0" fontId="0" fillId="4" borderId="0" xfId="0" applyFont="1" applyFill="1" applyBorder="1" applyAlignment="1">
      <alignment horizontal="right"/>
    </xf>
    <xf numFmtId="0" fontId="21" fillId="4" borderId="0" xfId="0" applyFont="1" applyFill="1" applyAlignment="1" applyProtection="1">
      <alignment horizontal="left" vertical="top"/>
    </xf>
    <xf numFmtId="0" fontId="42" fillId="4" borderId="0" xfId="0" applyFont="1" applyFill="1" applyAlignment="1" applyProtection="1">
      <alignment horizontal="right" vertical="top"/>
    </xf>
    <xf numFmtId="0" fontId="42" fillId="4" borderId="0" xfId="0" applyFont="1" applyFill="1" applyAlignment="1" applyProtection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Border="1" applyProtection="1">
      <protection locked="0"/>
    </xf>
    <xf numFmtId="0" fontId="51" fillId="4" borderId="0" xfId="0" applyFont="1" applyFill="1" applyBorder="1" applyAlignment="1">
      <alignment horizontal="right"/>
    </xf>
    <xf numFmtId="0" fontId="0" fillId="9" borderId="1" xfId="0" applyFill="1" applyBorder="1" applyAlignment="1" applyProtection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 applyProtection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vertical="center" wrapText="1"/>
    </xf>
    <xf numFmtId="1" fontId="55" fillId="2" borderId="0" xfId="0" applyNumberFormat="1" applyFont="1" applyFill="1" applyAlignment="1" applyProtection="1">
      <alignment vertical="center"/>
    </xf>
    <xf numFmtId="0" fontId="55" fillId="2" borderId="0" xfId="0" applyFont="1" applyFill="1" applyAlignment="1" applyProtection="1">
      <alignment horizontal="left"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 applyProtection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8" borderId="0" xfId="0" applyFont="1" applyFill="1" applyBorder="1" applyAlignment="1" applyProtection="1">
      <alignment horizontal="center" vertical="top"/>
    </xf>
    <xf numFmtId="0" fontId="2" fillId="8" borderId="19" xfId="0" applyFont="1" applyFill="1" applyBorder="1" applyAlignment="1" applyProtection="1">
      <alignment horizontal="center" vertical="top"/>
    </xf>
    <xf numFmtId="0" fontId="0" fillId="13" borderId="0" xfId="0" applyFill="1" applyAlignment="1" applyProtection="1">
      <alignment vertical="center"/>
    </xf>
    <xf numFmtId="0" fontId="44" fillId="4" borderId="0" xfId="0" applyFont="1" applyFill="1" applyAlignment="1" applyProtection="1">
      <alignment wrapText="1"/>
    </xf>
    <xf numFmtId="0" fontId="0" fillId="5" borderId="0" xfId="0" applyFill="1" applyAlignment="1" applyProtection="1">
      <alignment vertical="top"/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Border="1" applyAlignment="1" applyProtection="1">
      <alignment horizontal="center" vertical="top" wrapText="1"/>
    </xf>
    <xf numFmtId="0" fontId="2" fillId="3" borderId="0" xfId="0" applyFont="1" applyFill="1" applyBorder="1" applyAlignment="1" applyProtection="1">
      <alignment horizontal="center" vertical="top" wrapText="1"/>
    </xf>
    <xf numFmtId="0" fontId="50" fillId="14" borderId="9" xfId="0" applyFont="1" applyFill="1" applyBorder="1" applyAlignment="1" applyProtection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13" fillId="15" borderId="0" xfId="0" applyFont="1" applyFill="1" applyBorder="1" applyAlignment="1" applyProtection="1">
      <alignment vertical="center"/>
    </xf>
    <xf numFmtId="0" fontId="48" fillId="14" borderId="0" xfId="0" applyFont="1" applyFill="1" applyBorder="1" applyAlignment="1" applyProtection="1">
      <alignment horizontal="right" vertical="center"/>
    </xf>
    <xf numFmtId="0" fontId="0" fillId="14" borderId="4" xfId="0" applyFill="1" applyBorder="1" applyAlignment="1" applyProtection="1">
      <alignment vertical="top"/>
    </xf>
    <xf numFmtId="0" fontId="25" fillId="14" borderId="4" xfId="0" applyFont="1" applyFill="1" applyBorder="1" applyAlignment="1" applyProtection="1">
      <alignment vertical="center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Border="1" applyAlignment="1" applyProtection="1">
      <alignment horizontal="center" vertical="top"/>
    </xf>
    <xf numFmtId="0" fontId="2" fillId="24" borderId="0" xfId="0" applyFont="1" applyFill="1" applyAlignment="1" applyProtection="1">
      <alignment vertical="top" wrapText="1"/>
    </xf>
    <xf numFmtId="0" fontId="0" fillId="24" borderId="0" xfId="0" applyFill="1" applyAlignment="1" applyProtection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 applyProtection="1">
      <alignment horizontal="right" vertical="top"/>
    </xf>
    <xf numFmtId="0" fontId="2" fillId="24" borderId="0" xfId="0" applyFont="1" applyFill="1" applyAlignment="1" applyProtection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 applyProtection="1">
      <alignment horizontal="right" vertical="center"/>
    </xf>
    <xf numFmtId="0" fontId="25" fillId="14" borderId="0" xfId="0" applyFont="1" applyFill="1" applyAlignment="1" applyProtection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 applyProtection="1">
      <alignment horizontal="right" vertical="top"/>
    </xf>
    <xf numFmtId="0" fontId="0" fillId="8" borderId="0" xfId="0" applyFill="1" applyAlignment="1" applyProtection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/>
      <protection locked="0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0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0" fillId="4" borderId="0" xfId="0" applyFont="1" applyFill="1" applyAlignment="1" applyProtection="1">
      <alignment vertical="top"/>
    </xf>
    <xf numFmtId="0" fontId="2" fillId="4" borderId="0" xfId="0" applyFont="1" applyFill="1" applyAlignment="1" applyProtection="1">
      <alignment horizontal="right" vertical="top"/>
    </xf>
    <xf numFmtId="0" fontId="8" fillId="13" borderId="0" xfId="0" applyFont="1" applyFill="1" applyAlignment="1" applyProtection="1">
      <alignment vertical="center" wrapText="1"/>
    </xf>
    <xf numFmtId="0" fontId="33" fillId="9" borderId="0" xfId="0" applyFont="1" applyFill="1" applyAlignment="1" applyProtection="1">
      <alignment vertical="top"/>
    </xf>
    <xf numFmtId="0" fontId="25" fillId="14" borderId="15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/>
    </xf>
    <xf numFmtId="0" fontId="25" fillId="14" borderId="14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 wrapText="1"/>
    </xf>
    <xf numFmtId="0" fontId="10" fillId="14" borderId="0" xfId="0" applyFont="1" applyFill="1" applyBorder="1" applyAlignment="1" applyProtection="1">
      <alignment horizontal="right"/>
    </xf>
    <xf numFmtId="0" fontId="2" fillId="8" borderId="2" xfId="0" applyFont="1" applyFill="1" applyBorder="1" applyAlignment="1" applyProtection="1">
      <alignment vertical="top"/>
    </xf>
    <xf numFmtId="0" fontId="33" fillId="9" borderId="0" xfId="0" applyFont="1" applyFill="1" applyAlignment="1" applyProtection="1">
      <alignment horizontal="right" vertical="top"/>
    </xf>
    <xf numFmtId="9" fontId="14" fillId="8" borderId="1" xfId="0" applyNumberFormat="1" applyFont="1" applyFill="1" applyBorder="1" applyAlignment="1" applyProtection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 applyProtection="1">
      <alignment vertical="center"/>
    </xf>
    <xf numFmtId="0" fontId="64" fillId="4" borderId="0" xfId="0" applyFont="1" applyFill="1" applyBorder="1" applyAlignment="1" applyProtection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 applyProtection="1">
      <alignment vertical="top"/>
    </xf>
    <xf numFmtId="0" fontId="43" fillId="4" borderId="0" xfId="0" applyFont="1" applyFill="1" applyAlignment="1" applyProtection="1">
      <alignment horizontal="right" vertical="top"/>
    </xf>
    <xf numFmtId="0" fontId="11" fillId="14" borderId="0" xfId="0" applyFont="1" applyFill="1" applyBorder="1" applyAlignment="1" applyProtection="1">
      <alignment horizontal="right" vertical="center"/>
    </xf>
    <xf numFmtId="0" fontId="79" fillId="14" borderId="4" xfId="0" applyFont="1" applyFill="1" applyBorder="1" applyAlignment="1" applyProtection="1">
      <alignment horizontal="right" vertical="center"/>
    </xf>
    <xf numFmtId="0" fontId="78" fillId="14" borderId="0" xfId="0" applyFont="1" applyFill="1" applyAlignment="1" applyProtection="1">
      <alignment vertical="center"/>
    </xf>
    <xf numFmtId="0" fontId="2" fillId="26" borderId="0" xfId="0" applyFont="1" applyFill="1" applyAlignment="1" applyProtection="1">
      <alignment vertical="top"/>
    </xf>
    <xf numFmtId="0" fontId="2" fillId="26" borderId="0" xfId="0" applyFont="1" applyFill="1" applyAlignment="1" applyProtection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 applyProtection="1">
      <alignment horizontal="left" vertical="top"/>
    </xf>
    <xf numFmtId="0" fontId="0" fillId="23" borderId="0" xfId="0" applyFill="1" applyAlignment="1" applyProtection="1">
      <alignment horizontal="left" vertical="top"/>
    </xf>
    <xf numFmtId="0" fontId="16" fillId="14" borderId="0" xfId="0" applyFont="1" applyFill="1" applyAlignment="1" applyProtection="1">
      <alignment horizontal="left"/>
    </xf>
    <xf numFmtId="0" fontId="0" fillId="14" borderId="0" xfId="0" applyFill="1" applyAlignment="1" applyProtection="1">
      <alignment horizontal="left" vertical="top"/>
    </xf>
    <xf numFmtId="0" fontId="46" fillId="14" borderId="0" xfId="0" applyFont="1" applyFill="1" applyAlignment="1" applyProtection="1">
      <alignment horizontal="left" vertical="center"/>
    </xf>
    <xf numFmtId="0" fontId="3" fillId="6" borderId="0" xfId="0" applyFont="1" applyFill="1" applyAlignment="1" applyProtection="1">
      <alignment horizontal="left" vertical="top"/>
    </xf>
    <xf numFmtId="0" fontId="0" fillId="9" borderId="0" xfId="0" applyFill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top"/>
    </xf>
    <xf numFmtId="0" fontId="2" fillId="3" borderId="0" xfId="0" applyFont="1" applyFill="1" applyAlignment="1" applyProtection="1">
      <alignment horizontal="left" vertical="top" wrapText="1"/>
    </xf>
    <xf numFmtId="0" fontId="6" fillId="10" borderId="0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/>
    </xf>
    <xf numFmtId="0" fontId="0" fillId="6" borderId="4" xfId="0" applyFill="1" applyBorder="1" applyAlignment="1" applyProtection="1">
      <alignment horizontal="left" vertical="top"/>
    </xf>
    <xf numFmtId="0" fontId="0" fillId="6" borderId="0" xfId="0" applyFill="1" applyBorder="1" applyAlignment="1" applyProtection="1">
      <alignment horizontal="left" vertical="top"/>
    </xf>
    <xf numFmtId="0" fontId="0" fillId="10" borderId="0" xfId="0" applyFill="1" applyBorder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center"/>
    </xf>
    <xf numFmtId="0" fontId="2" fillId="24" borderId="0" xfId="0" applyFont="1" applyFill="1" applyAlignment="1" applyProtection="1">
      <alignment horizontal="left" vertical="top"/>
    </xf>
    <xf numFmtId="0" fontId="2" fillId="26" borderId="0" xfId="0" applyFont="1" applyFill="1" applyAlignment="1" applyProtection="1">
      <alignment horizontal="left" vertical="top"/>
    </xf>
    <xf numFmtId="0" fontId="0" fillId="24" borderId="0" xfId="0" applyFill="1" applyAlignment="1" applyProtection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 applyProtection="1">
      <alignment horizontal="left" vertical="center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165" fontId="7" fillId="13" borderId="0" xfId="1" applyNumberFormat="1" applyFont="1" applyFill="1" applyAlignment="1" applyProtection="1">
      <alignment horizontal="left" vertical="center" indent="1"/>
    </xf>
    <xf numFmtId="0" fontId="8" fillId="2" borderId="0" xfId="0" applyFont="1" applyFill="1" applyAlignment="1" applyProtection="1">
      <alignment horizontal="left" vertical="center"/>
      <protection locked="0"/>
    </xf>
    <xf numFmtId="165" fontId="6" fillId="10" borderId="0" xfId="1" applyNumberFormat="1" applyFont="1" applyFill="1" applyBorder="1" applyAlignment="1" applyProtection="1">
      <alignment horizontal="right" vertical="center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 applyProtection="1">
      <alignment horizontal="center" vertical="top"/>
    </xf>
    <xf numFmtId="0" fontId="2" fillId="8" borderId="7" xfId="0" applyFont="1" applyFill="1" applyBorder="1" applyAlignment="1" applyProtection="1">
      <alignment horizontal="center" vertical="top"/>
    </xf>
    <xf numFmtId="0" fontId="2" fillId="8" borderId="6" xfId="0" applyFont="1" applyFill="1" applyBorder="1" applyAlignment="1" applyProtection="1">
      <alignment horizontal="center" vertical="top"/>
    </xf>
    <xf numFmtId="0" fontId="0" fillId="4" borderId="0" xfId="0" applyFill="1" applyAlignment="1" applyProtection="1">
      <alignment horizontal="left" vertical="top" wrapText="1"/>
    </xf>
    <xf numFmtId="0" fontId="35" fillId="4" borderId="16" xfId="0" applyFont="1" applyFill="1" applyBorder="1" applyAlignment="1" applyProtection="1">
      <alignment horizontal="center" vertical="center"/>
    </xf>
    <xf numFmtId="0" fontId="35" fillId="4" borderId="0" xfId="0" applyFont="1" applyFill="1" applyBorder="1" applyAlignment="1" applyProtection="1">
      <alignment horizontal="center" vertical="center"/>
    </xf>
    <xf numFmtId="0" fontId="35" fillId="4" borderId="8" xfId="0" applyFont="1" applyFill="1" applyBorder="1" applyAlignment="1" applyProtection="1">
      <alignment horizontal="center" vertical="center"/>
    </xf>
    <xf numFmtId="0" fontId="35" fillId="4" borderId="4" xfId="0" applyFont="1" applyFill="1" applyBorder="1" applyAlignment="1" applyProtection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 applyProtection="1">
      <alignment horizontal="center" vertical="top"/>
    </xf>
    <xf numFmtId="0" fontId="65" fillId="4" borderId="0" xfId="0" applyFont="1" applyFill="1" applyBorder="1" applyAlignment="1" applyProtection="1">
      <alignment horizontal="left" vertical="top" wrapText="1"/>
      <protection locked="0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2" xfId="0" applyFont="1" applyFill="1" applyBorder="1" applyAlignment="1" applyProtection="1">
      <alignment horizontal="center" vertical="top"/>
    </xf>
    <xf numFmtId="0" fontId="52" fillId="2" borderId="0" xfId="0" applyFont="1" applyFill="1" applyBorder="1" applyAlignment="1" applyProtection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 applyProtection="1">
      <alignment horizontal="center" vertical="center" wrapText="1"/>
    </xf>
    <xf numFmtId="15" fontId="0" fillId="14" borderId="0" xfId="0" applyNumberFormat="1" applyFill="1" applyAlignment="1" applyProtection="1">
      <alignment horizontal="left" vertical="top"/>
    </xf>
    <xf numFmtId="0" fontId="4" fillId="14" borderId="0" xfId="0" applyFont="1" applyFill="1" applyAlignment="1" applyProtection="1">
      <alignment horizontal="right" wrapText="1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64" fillId="4" borderId="4" xfId="0" applyFont="1" applyFill="1" applyBorder="1" applyAlignment="1" applyProtection="1">
      <alignment horizontal="center" vertical="top"/>
    </xf>
    <xf numFmtId="0" fontId="0" fillId="4" borderId="0" xfId="0" applyFont="1" applyFill="1" applyAlignment="1" applyProtection="1">
      <alignment horizontal="right" vertical="top" wrapText="1"/>
    </xf>
    <xf numFmtId="0" fontId="44" fillId="4" borderId="0" xfId="0" applyFont="1" applyFill="1" applyAlignment="1" applyProtection="1">
      <alignment horizontal="left" vertical="top" wrapTex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15" fontId="38" fillId="19" borderId="0" xfId="0" applyNumberFormat="1" applyFont="1" applyFill="1" applyBorder="1" applyAlignment="1" applyProtection="1">
      <alignment horizontal="left" vertical="center" wrapText="1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15" fontId="0" fillId="0" borderId="0" xfId="0" applyNumberFormat="1" applyFill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225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638-4030-810E-B426BF2B47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638-4030-810E-B426BF2B47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638-4030-810E-B426BF2B47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638-4030-810E-B426BF2B47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638-4030-810E-B426BF2B47F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638-4030-810E-B426BF2B47F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F638-4030-810E-B426BF2B47F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F638-4030-810E-B426BF2B47F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638-4030-810E-B426BF2B47F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F638-4030-810E-B426BF2B47F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F638-4030-810E-B426BF2B47F6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F638-4030-810E-B426BF2B47F6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Estimation!$L$264:$L$269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Estimation!$O$264:$O$269</c:f>
              <c:numCache>
                <c:formatCode>0</c:formatCode>
                <c:ptCount val="6"/>
                <c:pt idx="0">
                  <c:v>224</c:v>
                </c:pt>
                <c:pt idx="1">
                  <c:v>203</c:v>
                </c:pt>
                <c:pt idx="2">
                  <c:v>412</c:v>
                </c:pt>
                <c:pt idx="3">
                  <c:v>50</c:v>
                </c:pt>
                <c:pt idx="4">
                  <c:v>45</c:v>
                </c:pt>
                <c:pt idx="5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23302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262</xdr:row>
      <xdr:rowOff>100852</xdr:rowOff>
    </xdr:from>
    <xdr:to>
      <xdr:col>26</xdr:col>
      <xdr:colOff>515471</xdr:colOff>
      <xdr:row>270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8</xdr:row>
          <xdr:rowOff>15240</xdr:rowOff>
        </xdr:from>
        <xdr:to>
          <xdr:col>13</xdr:col>
          <xdr:colOff>76200</xdr:colOff>
          <xdr:row>9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8</xdr:row>
          <xdr:rowOff>15240</xdr:rowOff>
        </xdr:from>
        <xdr:to>
          <xdr:col>13</xdr:col>
          <xdr:colOff>822960</xdr:colOff>
          <xdr:row>9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15240</xdr:rowOff>
        </xdr:from>
        <xdr:to>
          <xdr:col>13</xdr:col>
          <xdr:colOff>2301240</xdr:colOff>
          <xdr:row>9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2339340</xdr:colOff>
          <xdr:row>8</xdr:row>
          <xdr:rowOff>15240</xdr:rowOff>
        </xdr:from>
        <xdr:to>
          <xdr:col>14</xdr:col>
          <xdr:colOff>190500</xdr:colOff>
          <xdr:row>9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15240</xdr:rowOff>
        </xdr:from>
        <xdr:to>
          <xdr:col>15</xdr:col>
          <xdr:colOff>15240</xdr:colOff>
          <xdr:row>9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8</xdr:row>
          <xdr:rowOff>15240</xdr:rowOff>
        </xdr:from>
        <xdr:to>
          <xdr:col>13</xdr:col>
          <xdr:colOff>1554480</xdr:colOff>
          <xdr:row>9</xdr:row>
          <xdr:rowOff>68580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221780</xdr:colOff>
      <xdr:row>5</xdr:row>
      <xdr:rowOff>80428</xdr:rowOff>
    </xdr:from>
    <xdr:ext cx="4826250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9958354">
          <a:off x="3812705" y="1423453"/>
          <a:ext cx="4826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 a m p l 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5867400" y="3133726"/>
          <a:ext cx="1066800" cy="130683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343150" y="19128105"/>
          <a:ext cx="365760" cy="35433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201025" y="20956905"/>
          <a:ext cx="365760" cy="35433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591175" y="22237065"/>
          <a:ext cx="365760" cy="35433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581025" y="24604980"/>
          <a:ext cx="365760" cy="35433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600575" y="26220420"/>
          <a:ext cx="365760" cy="34671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57250" y="28531185"/>
          <a:ext cx="365760" cy="34671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734050" y="17878425"/>
          <a:ext cx="5638095" cy="271236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619625" y="26317575"/>
          <a:ext cx="6447619" cy="121142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4" outlineLevelRow="1" x14ac:dyDescent="0.3"/>
  <cols>
    <col min="1" max="1" width="3.77734375" customWidth="1"/>
    <col min="2" max="2" width="14.21875" customWidth="1"/>
    <col min="3" max="3" width="32.21875" customWidth="1"/>
  </cols>
  <sheetData>
    <row r="2" spans="2:3" collapsed="1" x14ac:dyDescent="0.3">
      <c r="B2" s="3" t="s">
        <v>16</v>
      </c>
      <c r="C2" s="4"/>
    </row>
    <row r="3" spans="2:3" hidden="1" outlineLevel="1" x14ac:dyDescent="0.3">
      <c r="B3" s="2" t="s">
        <v>23</v>
      </c>
      <c r="C3" s="2"/>
    </row>
    <row r="4" spans="2:3" hidden="1" outlineLevel="1" x14ac:dyDescent="0.3">
      <c r="B4" s="2" t="s">
        <v>6</v>
      </c>
      <c r="C4" s="2"/>
    </row>
    <row r="5" spans="2:3" hidden="1" outlineLevel="1" x14ac:dyDescent="0.3">
      <c r="B5" s="2" t="s">
        <v>7</v>
      </c>
      <c r="C5" s="2"/>
    </row>
    <row r="7" spans="2:3" collapsed="1" x14ac:dyDescent="0.3">
      <c r="B7" s="3" t="s">
        <v>17</v>
      </c>
      <c r="C7" s="4"/>
    </row>
    <row r="8" spans="2:3" hidden="1" outlineLevel="1" x14ac:dyDescent="0.3">
      <c r="B8" s="2" t="s">
        <v>23</v>
      </c>
      <c r="C8" s="2"/>
    </row>
    <row r="9" spans="2:3" hidden="1" outlineLevel="1" x14ac:dyDescent="0.3">
      <c r="B9" s="2" t="s">
        <v>8</v>
      </c>
      <c r="C9" s="2"/>
    </row>
    <row r="10" spans="2:3" hidden="1" outlineLevel="1" x14ac:dyDescent="0.3">
      <c r="B10" s="2" t="s">
        <v>13</v>
      </c>
      <c r="C10" s="2"/>
    </row>
    <row r="11" spans="2:3" hidden="1" outlineLevel="1" x14ac:dyDescent="0.3">
      <c r="B11" s="2" t="s">
        <v>14</v>
      </c>
      <c r="C11" s="2"/>
    </row>
    <row r="12" spans="2:3" hidden="1" outlineLevel="1" x14ac:dyDescent="0.3">
      <c r="B12" s="2" t="s">
        <v>15</v>
      </c>
      <c r="C12" s="2"/>
    </row>
    <row r="13" spans="2:3" hidden="1" outlineLevel="1" x14ac:dyDescent="0.3">
      <c r="B13" s="2" t="s">
        <v>9</v>
      </c>
      <c r="C13" s="2"/>
    </row>
    <row r="14" spans="2:3" hidden="1" outlineLevel="1" x14ac:dyDescent="0.3">
      <c r="B14" s="2" t="s">
        <v>10</v>
      </c>
      <c r="C14" s="2"/>
    </row>
    <row r="15" spans="2:3" hidden="1" outlineLevel="1" x14ac:dyDescent="0.3">
      <c r="B15" s="2" t="s">
        <v>12</v>
      </c>
      <c r="C15" s="2"/>
    </row>
    <row r="16" spans="2:3" hidden="1" outlineLevel="1" x14ac:dyDescent="0.3">
      <c r="B16" s="2" t="s">
        <v>11</v>
      </c>
      <c r="C16" s="2"/>
    </row>
    <row r="18" spans="2:3" collapsed="1" x14ac:dyDescent="0.3">
      <c r="B18" s="3" t="s">
        <v>24</v>
      </c>
      <c r="C18" s="4"/>
    </row>
    <row r="19" spans="2:3" hidden="1" outlineLevel="1" x14ac:dyDescent="0.3">
      <c r="B19" s="2" t="s">
        <v>23</v>
      </c>
      <c r="C19" s="2"/>
    </row>
    <row r="20" spans="2:3" hidden="1" outlineLevel="1" x14ac:dyDescent="0.3">
      <c r="B20" s="2" t="s">
        <v>18</v>
      </c>
      <c r="C20" s="2"/>
    </row>
    <row r="21" spans="2:3" hidden="1" outlineLevel="1" x14ac:dyDescent="0.3">
      <c r="B21" s="2" t="s">
        <v>19</v>
      </c>
      <c r="C21" s="2"/>
    </row>
    <row r="22" spans="2:3" hidden="1" outlineLevel="1" x14ac:dyDescent="0.3">
      <c r="B22" s="2" t="s">
        <v>20</v>
      </c>
      <c r="C22" s="2"/>
    </row>
    <row r="23" spans="2:3" hidden="1" outlineLevel="1" x14ac:dyDescent="0.3">
      <c r="B23" s="2" t="s">
        <v>21</v>
      </c>
      <c r="C23" s="2"/>
    </row>
    <row r="24" spans="2:3" hidden="1" outlineLevel="1" x14ac:dyDescent="0.3">
      <c r="B24" s="2" t="s">
        <v>22</v>
      </c>
      <c r="C24" s="2"/>
    </row>
    <row r="26" spans="2:3" collapsed="1" x14ac:dyDescent="0.3">
      <c r="B26" s="3" t="s">
        <v>28</v>
      </c>
      <c r="C26" s="4"/>
    </row>
    <row r="27" spans="2:3" hidden="1" outlineLevel="1" x14ac:dyDescent="0.3">
      <c r="B27" s="2" t="s">
        <v>23</v>
      </c>
      <c r="C27" s="2"/>
    </row>
    <row r="28" spans="2:3" hidden="1" outlineLevel="1" x14ac:dyDescent="0.3">
      <c r="B28" s="2" t="s">
        <v>25</v>
      </c>
      <c r="C28" s="2"/>
    </row>
    <row r="29" spans="2:3" hidden="1" outlineLevel="1" x14ac:dyDescent="0.3">
      <c r="B29" s="2" t="s">
        <v>27</v>
      </c>
      <c r="C29" s="2"/>
    </row>
    <row r="31" spans="2:3" collapsed="1" x14ac:dyDescent="0.3">
      <c r="B31" s="3" t="s">
        <v>35</v>
      </c>
      <c r="C31" s="3"/>
    </row>
    <row r="32" spans="2:3" hidden="1" outlineLevel="1" x14ac:dyDescent="0.3">
      <c r="B32" s="2" t="s">
        <v>23</v>
      </c>
      <c r="C32" s="2"/>
    </row>
    <row r="33" spans="2:3" hidden="1" outlineLevel="1" x14ac:dyDescent="0.3">
      <c r="B33" s="2" t="s">
        <v>32</v>
      </c>
      <c r="C33" s="2"/>
    </row>
    <row r="34" spans="2:3" hidden="1" outlineLevel="1" x14ac:dyDescent="0.3">
      <c r="B34" s="2" t="s">
        <v>33</v>
      </c>
      <c r="C34" s="2"/>
    </row>
    <row r="35" spans="2:3" hidden="1" outlineLevel="1" x14ac:dyDescent="0.3">
      <c r="B35" s="2" t="s">
        <v>34</v>
      </c>
      <c r="C35" s="2"/>
    </row>
    <row r="37" spans="2:3" collapsed="1" x14ac:dyDescent="0.3">
      <c r="B37" s="3" t="s">
        <v>37</v>
      </c>
      <c r="C37" s="3"/>
    </row>
    <row r="38" spans="2:3" hidden="1" outlineLevel="1" x14ac:dyDescent="0.3">
      <c r="B38" s="2" t="s">
        <v>23</v>
      </c>
      <c r="C38" s="2"/>
    </row>
    <row r="39" spans="2:3" hidden="1" outlineLevel="1" x14ac:dyDescent="0.3">
      <c r="B39" s="2" t="s">
        <v>38</v>
      </c>
      <c r="C39" s="2"/>
    </row>
    <row r="40" spans="2:3" hidden="1" outlineLevel="1" x14ac:dyDescent="0.3">
      <c r="B40" s="2" t="s">
        <v>39</v>
      </c>
      <c r="C40" s="2"/>
    </row>
    <row r="41" spans="2:3" hidden="1" outlineLevel="1" x14ac:dyDescent="0.3">
      <c r="B41" s="2" t="s">
        <v>40</v>
      </c>
      <c r="C41" s="2"/>
    </row>
    <row r="42" spans="2:3" hidden="1" outlineLevel="1" x14ac:dyDescent="0.3">
      <c r="B42" s="2" t="s">
        <v>41</v>
      </c>
      <c r="C42" s="2"/>
    </row>
    <row r="44" spans="2:3" collapsed="1" x14ac:dyDescent="0.3">
      <c r="B44" s="3" t="s">
        <v>44</v>
      </c>
      <c r="C44" s="4"/>
    </row>
    <row r="45" spans="2:3" hidden="1" outlineLevel="1" x14ac:dyDescent="0.3">
      <c r="B45" s="2" t="s">
        <v>23</v>
      </c>
      <c r="C45" s="2"/>
    </row>
    <row r="46" spans="2:3" hidden="1" outlineLevel="1" x14ac:dyDescent="0.3">
      <c r="B46" s="2" t="s">
        <v>42</v>
      </c>
      <c r="C46" s="2"/>
    </row>
    <row r="47" spans="2:3" hidden="1" outlineLevel="1" x14ac:dyDescent="0.3">
      <c r="B47" s="2" t="s">
        <v>43</v>
      </c>
      <c r="C47" s="2"/>
    </row>
    <row r="48" spans="2:3" hidden="1" outlineLevel="1" x14ac:dyDescent="0.3">
      <c r="B48" s="2" t="s">
        <v>45</v>
      </c>
      <c r="C48" s="2"/>
    </row>
    <row r="50" spans="2:3" collapsed="1" x14ac:dyDescent="0.3">
      <c r="B50" s="3" t="s">
        <v>52</v>
      </c>
      <c r="C50" s="3"/>
    </row>
    <row r="51" spans="2:3" hidden="1" outlineLevel="1" x14ac:dyDescent="0.3">
      <c r="B51" s="2" t="s">
        <v>54</v>
      </c>
      <c r="C51" s="163">
        <f>IF(MIN_EFFORT_PERCENT &lt; 0, MIN_EFFORT_PERCENT, MIN_EFFORT_PERCENT*-1)</f>
        <v>-0.2</v>
      </c>
    </row>
    <row r="52" spans="2:3" hidden="1" outlineLevel="1" x14ac:dyDescent="0.3">
      <c r="B52" s="2" t="s">
        <v>126</v>
      </c>
      <c r="C52" s="163">
        <f>CUSTOM_PERCENT*-1</f>
        <v>-0.25</v>
      </c>
    </row>
    <row r="53" spans="2:3" hidden="1" outlineLevel="1" x14ac:dyDescent="0.3">
      <c r="B53" s="2" t="s">
        <v>55</v>
      </c>
      <c r="C53" s="163">
        <v>0</v>
      </c>
    </row>
    <row r="54" spans="2:3" hidden="1" outlineLevel="1" x14ac:dyDescent="0.3">
      <c r="B54" s="2" t="s">
        <v>127</v>
      </c>
      <c r="C54" s="163">
        <f>CUSTOM_PERCENT</f>
        <v>0.25</v>
      </c>
    </row>
    <row r="55" spans="2:3" hidden="1" outlineLevel="1" x14ac:dyDescent="0.3">
      <c r="B55" s="2" t="s">
        <v>53</v>
      </c>
      <c r="C55" s="163">
        <f>MAX_EFFORT_PERCENT</f>
        <v>0.2</v>
      </c>
    </row>
    <row r="57" spans="2:3" collapsed="1" x14ac:dyDescent="0.3">
      <c r="B57" s="3" t="s">
        <v>61</v>
      </c>
      <c r="C57" s="3"/>
    </row>
    <row r="58" spans="2:3" hidden="1" outlineLevel="1" x14ac:dyDescent="0.3">
      <c r="B58" s="2" t="s">
        <v>63</v>
      </c>
      <c r="C58" s="2"/>
    </row>
    <row r="59" spans="2:3" hidden="1" outlineLevel="1" x14ac:dyDescent="0.3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419"/>
  <sheetViews>
    <sheetView showGridLines="0" tabSelected="1" zoomScale="85" zoomScaleNormal="85" workbookViewId="0">
      <pane xSplit="11" ySplit="11" topLeftCell="L144" activePane="bottomRight" state="frozenSplit"/>
      <selection pane="topRight" activeCell="M1" sqref="M1"/>
      <selection pane="bottomLeft" activeCell="A17" sqref="A17"/>
      <selection pane="bottomRight" activeCell="AB153" sqref="AB153"/>
    </sheetView>
  </sheetViews>
  <sheetFormatPr defaultColWidth="9.21875" defaultRowHeight="14.4" outlineLevelRow="2" outlineLevelCol="1" x14ac:dyDescent="0.3"/>
  <cols>
    <col min="1" max="1" width="1" style="93" customWidth="1"/>
    <col min="2" max="2" width="1" style="10" customWidth="1"/>
    <col min="3" max="5" width="1" style="80" customWidth="1"/>
    <col min="6" max="6" width="3" style="80" customWidth="1" collapsed="1"/>
    <col min="7" max="7" width="8.5546875" style="19" hidden="1" customWidth="1" outlineLevel="1"/>
    <col min="8" max="8" width="8.44140625" style="19" hidden="1" customWidth="1" outlineLevel="1"/>
    <col min="9" max="9" width="7.21875" style="19" hidden="1" customWidth="1" outlineLevel="1"/>
    <col min="10" max="10" width="7.77734375" style="19" hidden="1" customWidth="1" outlineLevel="1"/>
    <col min="11" max="11" width="37.44140625" style="19" hidden="1" customWidth="1" outlineLevel="1"/>
    <col min="12" max="12" width="3.77734375" style="19" customWidth="1"/>
    <col min="13" max="13" width="5.77734375" style="293" customWidth="1"/>
    <col min="14" max="14" width="42.77734375" style="27" customWidth="1"/>
    <col min="15" max="15" width="13.21875" style="27" customWidth="1"/>
    <col min="16" max="16" width="17.21875" style="19" customWidth="1"/>
    <col min="17" max="17" width="7" style="19" customWidth="1"/>
    <col min="18" max="18" width="6.44140625" style="19" customWidth="1"/>
    <col min="19" max="19" width="12" style="19" customWidth="1"/>
    <col min="20" max="20" width="10.77734375" style="19" customWidth="1"/>
    <col min="21" max="21" width="6.77734375" style="19" customWidth="1" outlineLevel="1"/>
    <col min="22" max="22" width="6.21875" style="19" customWidth="1" outlineLevel="1"/>
    <col min="23" max="23" width="6" style="19" customWidth="1" outlineLevel="1"/>
    <col min="24" max="24" width="11.77734375" style="19" customWidth="1" outlineLevel="1"/>
    <col min="25" max="25" width="11" style="19" customWidth="1" outlineLevel="1"/>
    <col min="26" max="26" width="6.5546875" style="19" customWidth="1" outlineLevel="1"/>
    <col min="27" max="27" width="11" style="19" customWidth="1" outlineLevel="1"/>
    <col min="28" max="28" width="35.77734375" style="27" customWidth="1"/>
    <col min="29" max="29" width="1.44140625" style="12" customWidth="1"/>
    <col min="30" max="30" width="19" style="12" customWidth="1"/>
    <col min="31" max="16384" width="9.21875" style="19"/>
  </cols>
  <sheetData>
    <row r="1" spans="1:30" s="11" customFormat="1" ht="4.5" customHeight="1" x14ac:dyDescent="0.3">
      <c r="A1" s="93"/>
      <c r="B1" s="10"/>
      <c r="C1" s="78"/>
      <c r="D1" s="78"/>
      <c r="E1" s="78"/>
      <c r="F1" s="78"/>
      <c r="M1" s="275"/>
      <c r="N1" s="12"/>
      <c r="O1" s="12"/>
      <c r="AB1" s="12"/>
      <c r="AC1" s="12"/>
      <c r="AD1" s="12"/>
    </row>
    <row r="2" spans="1:30" s="11" customFormat="1" ht="4.5" customHeight="1" x14ac:dyDescent="0.3">
      <c r="A2" s="94"/>
      <c r="B2" s="10"/>
      <c r="C2" s="321" t="s">
        <v>151</v>
      </c>
      <c r="D2" s="321"/>
      <c r="E2" s="321"/>
      <c r="F2" s="321"/>
      <c r="G2" s="147"/>
      <c r="H2" s="147"/>
      <c r="I2" s="147"/>
      <c r="J2" s="147"/>
      <c r="K2" s="147"/>
      <c r="L2" s="147"/>
      <c r="M2" s="276"/>
      <c r="N2" s="148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2"/>
    </row>
    <row r="3" spans="1:30" s="11" customFormat="1" ht="23.25" customHeight="1" x14ac:dyDescent="0.5">
      <c r="A3" s="94"/>
      <c r="B3" s="10"/>
      <c r="C3" s="321"/>
      <c r="D3" s="321"/>
      <c r="E3" s="321"/>
      <c r="F3" s="321"/>
      <c r="G3" s="327" t="s">
        <v>539</v>
      </c>
      <c r="H3" s="327"/>
      <c r="I3" s="327"/>
      <c r="J3" s="327"/>
      <c r="K3" s="297" t="s">
        <v>585</v>
      </c>
      <c r="L3" s="95"/>
      <c r="M3" s="277">
        <f>IF(IS_KEY_OPP="Yes", 2, IF(IS_KEY_OPP="No", 0, 1))</f>
        <v>2</v>
      </c>
      <c r="N3" s="149" t="str">
        <f>CLIENT_NAME&amp;" - "&amp;PROJECT_NAME&amp;" ("&amp;PLATFORM&amp;" "&amp;PROJECT_TYPE&amp;" Project)"&amp;IF(RFP_NAME&lt;&gt;"", " - "&amp;RFP_NAME, "")</f>
        <v>Ycompany - Electronic Claims Processing (Web Development Project)</v>
      </c>
      <c r="O3" s="149"/>
      <c r="P3" s="149"/>
      <c r="Q3" s="149"/>
      <c r="R3" s="149"/>
      <c r="S3" s="197"/>
      <c r="T3" s="264" t="str">
        <f>IF(COUNTIF(AD9:AD240, "Error:*") = 0, "", COUNTIF(AD9:AD240, "Error:*") &amp; " errors")</f>
        <v>27 errors</v>
      </c>
      <c r="U3" s="196"/>
      <c r="V3" s="196"/>
      <c r="W3" s="196"/>
      <c r="X3" s="210" t="s">
        <v>186</v>
      </c>
      <c r="Y3" s="212" t="s">
        <v>190</v>
      </c>
      <c r="Z3" s="214"/>
      <c r="AA3" s="213"/>
      <c r="AB3" s="266"/>
      <c r="AC3" s="95"/>
      <c r="AD3" s="12"/>
    </row>
    <row r="4" spans="1:30" s="11" customFormat="1" ht="4.5" customHeight="1" x14ac:dyDescent="0.3">
      <c r="A4" s="94"/>
      <c r="B4" s="10"/>
      <c r="C4" s="321"/>
      <c r="D4" s="321"/>
      <c r="E4" s="321"/>
      <c r="F4" s="321"/>
      <c r="G4" s="95"/>
      <c r="H4" s="95"/>
      <c r="I4" s="95"/>
      <c r="J4" s="95"/>
      <c r="K4" s="95"/>
      <c r="L4" s="95"/>
      <c r="M4" s="278"/>
      <c r="N4" s="96"/>
      <c r="O4" s="95"/>
      <c r="P4" s="246"/>
      <c r="Q4" s="198"/>
      <c r="R4" s="95"/>
      <c r="S4" s="199"/>
      <c r="T4" s="265"/>
      <c r="U4" s="196"/>
      <c r="V4" s="196"/>
      <c r="W4" s="196"/>
      <c r="X4" s="211"/>
      <c r="Y4" s="212"/>
      <c r="Z4" s="214"/>
      <c r="AA4" s="214"/>
      <c r="AB4" s="95"/>
      <c r="AC4" s="95"/>
      <c r="AD4" s="12"/>
    </row>
    <row r="5" spans="1:30" s="11" customFormat="1" ht="20.25" customHeight="1" x14ac:dyDescent="0.3">
      <c r="A5" s="94"/>
      <c r="B5" s="10"/>
      <c r="C5" s="321"/>
      <c r="D5" s="321"/>
      <c r="E5" s="321"/>
      <c r="F5" s="321"/>
      <c r="G5" s="95"/>
      <c r="H5" s="218"/>
      <c r="I5" s="218" t="s">
        <v>275</v>
      </c>
      <c r="J5" s="328">
        <v>42565</v>
      </c>
      <c r="K5" s="328"/>
      <c r="L5" s="95"/>
      <c r="M5" s="278"/>
      <c r="N5" s="98" t="str">
        <f>IF(TOTAL_EFFORT&lt;=0, "", CHOSEN_CURRENCY&amp;" "&amp;TEXT(CEILING(($W$270/1000),1),"##,##,###")&amp;" K  ●  "&amp;TEXT(TOTAL_EFFORT,"##,##,###")&amp;" PDs ("&amp;TEXT(TOTAL_WEEKS,"##,###"&amp;" Wk)"))</f>
        <v>- 231 K  ●  1,028 PDs (206 Wk)</v>
      </c>
      <c r="O5" s="248"/>
      <c r="P5" s="247"/>
      <c r="Q5" s="254"/>
      <c r="R5" s="193" t="s">
        <v>88</v>
      </c>
      <c r="S5" s="194" t="s">
        <v>55</v>
      </c>
      <c r="T5" s="195">
        <v>0.25</v>
      </c>
      <c r="U5" s="196"/>
      <c r="V5" s="196"/>
      <c r="W5" s="196"/>
      <c r="X5" s="210" t="s">
        <v>187</v>
      </c>
      <c r="Y5" s="212" t="s">
        <v>191</v>
      </c>
      <c r="Z5" s="213"/>
      <c r="AA5" s="213"/>
      <c r="AB5" s="329" t="s">
        <v>110</v>
      </c>
      <c r="AC5" s="97"/>
      <c r="AD5" s="12"/>
    </row>
    <row r="6" spans="1:30" s="11" customFormat="1" ht="20.25" customHeight="1" x14ac:dyDescent="0.3">
      <c r="A6" s="94"/>
      <c r="B6" s="10"/>
      <c r="C6" s="321"/>
      <c r="D6" s="321"/>
      <c r="E6" s="321"/>
      <c r="F6" s="321"/>
      <c r="G6" s="95"/>
      <c r="H6" s="218"/>
      <c r="I6" s="218" t="s">
        <v>276</v>
      </c>
      <c r="J6" s="95" t="s">
        <v>540</v>
      </c>
      <c r="K6" s="95"/>
      <c r="L6" s="95"/>
      <c r="M6" s="279"/>
      <c r="N6" s="143" t="str">
        <f>IF(TOTAL_EFFORT&lt;=0, "", "Auto: "&amp;DURATION&amp;" Wk  ("&amp;CEILING(DURATION/4,0.5)&amp;" M)"&amp;", Manual: "&amp;MANUAL_DURATION&amp;" Wk ("&amp;CEILING(MANUAL_DURATION/4,0.5)&amp;" M)")</f>
        <v>Auto: 69 Wk  (17.5 M), Manual: -143 Wk (-35.5 M)</v>
      </c>
      <c r="O6" s="249"/>
      <c r="P6" s="247"/>
      <c r="Q6" s="245"/>
      <c r="R6" s="150" t="s">
        <v>62</v>
      </c>
      <c r="S6" s="179" t="s">
        <v>63</v>
      </c>
      <c r="T6" s="180"/>
      <c r="U6" s="196"/>
      <c r="V6" s="196"/>
      <c r="W6" s="196"/>
      <c r="X6" s="210" t="s">
        <v>188</v>
      </c>
      <c r="Y6" s="212" t="s">
        <v>189</v>
      </c>
      <c r="Z6" s="213"/>
      <c r="AA6" s="213"/>
      <c r="AB6" s="329"/>
      <c r="AC6" s="97"/>
      <c r="AD6" s="12"/>
    </row>
    <row r="7" spans="1:30" s="11" customFormat="1" ht="4.5" customHeight="1" x14ac:dyDescent="0.3">
      <c r="A7" s="94"/>
      <c r="B7" s="10"/>
      <c r="C7" s="321"/>
      <c r="D7" s="321"/>
      <c r="E7" s="321"/>
      <c r="F7" s="321"/>
      <c r="G7" s="95"/>
      <c r="H7" s="95"/>
      <c r="I7" s="95"/>
      <c r="J7" s="95"/>
      <c r="K7" s="95"/>
      <c r="L7" s="95"/>
      <c r="M7" s="278"/>
      <c r="N7" s="96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12"/>
    </row>
    <row r="8" spans="1:30" s="11" customFormat="1" ht="1.5" customHeight="1" x14ac:dyDescent="0.3">
      <c r="A8" s="93"/>
      <c r="B8" s="10"/>
      <c r="C8" s="321"/>
      <c r="D8" s="321"/>
      <c r="E8" s="321"/>
      <c r="F8" s="321"/>
      <c r="G8" s="13"/>
      <c r="H8" s="13"/>
      <c r="I8" s="13"/>
      <c r="J8" s="13"/>
      <c r="K8" s="13"/>
      <c r="L8" s="13"/>
      <c r="M8" s="280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2"/>
      <c r="AC8" s="12"/>
      <c r="AD8" s="12"/>
    </row>
    <row r="9" spans="1:30" s="11" customFormat="1" ht="15" customHeight="1" x14ac:dyDescent="0.3">
      <c r="A9" s="93"/>
      <c r="B9" s="10"/>
      <c r="C9" s="321"/>
      <c r="D9" s="321"/>
      <c r="E9" s="321"/>
      <c r="F9" s="321"/>
      <c r="G9" s="323" t="s">
        <v>131</v>
      </c>
      <c r="H9" s="323"/>
      <c r="I9" s="323"/>
      <c r="J9" s="323"/>
      <c r="K9" s="166"/>
      <c r="L9" s="154"/>
      <c r="M9" s="281"/>
      <c r="N9" s="43"/>
      <c r="O9" s="43"/>
      <c r="P9" s="43"/>
      <c r="Q9" s="244"/>
      <c r="R9" s="251" t="s">
        <v>147</v>
      </c>
      <c r="S9" s="208" t="s">
        <v>145</v>
      </c>
      <c r="T9" s="208" t="s">
        <v>146</v>
      </c>
      <c r="U9" s="244"/>
      <c r="V9" s="244"/>
      <c r="W9" s="244"/>
      <c r="X9" s="43"/>
      <c r="Y9" s="43"/>
      <c r="Z9" s="43"/>
      <c r="AA9" s="43"/>
      <c r="AB9" s="153" t="s">
        <v>175</v>
      </c>
      <c r="AC9" s="43"/>
      <c r="AD9" s="12"/>
    </row>
    <row r="10" spans="1:30" s="11" customFormat="1" ht="13.5" customHeight="1" x14ac:dyDescent="0.3">
      <c r="A10" s="93" t="s">
        <v>148</v>
      </c>
      <c r="B10" s="10"/>
      <c r="C10" s="322" t="s">
        <v>109</v>
      </c>
      <c r="D10" s="322"/>
      <c r="E10" s="322"/>
      <c r="F10" s="322"/>
      <c r="G10" s="48" t="s">
        <v>81</v>
      </c>
      <c r="H10" s="49" t="s">
        <v>80</v>
      </c>
      <c r="I10" s="183"/>
      <c r="J10" s="184"/>
      <c r="K10" s="50"/>
      <c r="L10" s="138"/>
      <c r="M10" s="282"/>
      <c r="N10" s="40"/>
      <c r="O10" s="191"/>
      <c r="P10" s="304" t="s">
        <v>57</v>
      </c>
      <c r="Q10" s="305"/>
      <c r="R10" s="306"/>
      <c r="S10" s="41"/>
      <c r="T10" s="250"/>
      <c r="U10" s="304" t="s">
        <v>58</v>
      </c>
      <c r="V10" s="305"/>
      <c r="W10" s="306"/>
      <c r="X10" s="252" t="s">
        <v>89</v>
      </c>
      <c r="Y10" s="69"/>
      <c r="Z10" s="42"/>
      <c r="AA10" s="221"/>
      <c r="AB10" s="40"/>
      <c r="AC10" s="40"/>
      <c r="AD10" s="12"/>
    </row>
    <row r="11" spans="1:30" s="11" customFormat="1" ht="15" customHeight="1" x14ac:dyDescent="0.3">
      <c r="A11" s="93" t="s">
        <v>104</v>
      </c>
      <c r="B11" s="10"/>
      <c r="C11" s="322" t="s">
        <v>152</v>
      </c>
      <c r="D11" s="322"/>
      <c r="E11" s="322"/>
      <c r="F11" s="322"/>
      <c r="G11" s="9" t="s">
        <v>60</v>
      </c>
      <c r="H11" s="51" t="s">
        <v>2</v>
      </c>
      <c r="I11" s="177" t="s">
        <v>133</v>
      </c>
      <c r="J11" s="51" t="s">
        <v>1</v>
      </c>
      <c r="K11" s="7" t="s">
        <v>48</v>
      </c>
      <c r="L11" s="77"/>
      <c r="M11" s="283" t="s">
        <v>82</v>
      </c>
      <c r="N11" s="77"/>
      <c r="O11" s="192" t="s">
        <v>430</v>
      </c>
      <c r="P11" s="7" t="s">
        <v>3</v>
      </c>
      <c r="Q11" s="52" t="s">
        <v>153</v>
      </c>
      <c r="R11" s="51" t="s">
        <v>51</v>
      </c>
      <c r="S11" s="319" t="s">
        <v>59</v>
      </c>
      <c r="T11" s="320"/>
      <c r="U11" s="8" t="s">
        <v>46</v>
      </c>
      <c r="V11" s="8" t="s">
        <v>90</v>
      </c>
      <c r="W11" s="182" t="s">
        <v>47</v>
      </c>
      <c r="X11" s="51" t="s">
        <v>57</v>
      </c>
      <c r="Y11" s="7" t="s">
        <v>64</v>
      </c>
      <c r="Z11" s="51" t="s">
        <v>50</v>
      </c>
      <c r="AA11" s="51" t="s">
        <v>139</v>
      </c>
      <c r="AB11" s="190" t="s">
        <v>444</v>
      </c>
      <c r="AC11" s="6"/>
      <c r="AD11" s="12"/>
    </row>
    <row r="12" spans="1:30" s="17" customFormat="1" ht="18" collapsed="1" x14ac:dyDescent="0.3">
      <c r="A12" s="93" t="s">
        <v>98</v>
      </c>
      <c r="B12" s="14"/>
      <c r="C12" s="325" t="s">
        <v>150</v>
      </c>
      <c r="D12" s="326"/>
      <c r="E12" s="326"/>
      <c r="F12" s="201" t="s">
        <v>149</v>
      </c>
      <c r="G12" s="55"/>
      <c r="H12" s="55"/>
      <c r="I12" s="55"/>
      <c r="J12" s="55"/>
      <c r="K12" s="55"/>
      <c r="L12" s="55" t="s">
        <v>0</v>
      </c>
      <c r="M12" s="284" t="s">
        <v>49</v>
      </c>
      <c r="N12" s="215"/>
      <c r="O12" s="57"/>
      <c r="P12" s="58"/>
      <c r="Q12" s="58"/>
      <c r="R12" s="58"/>
      <c r="S12" s="302">
        <f>CEILING(SUMIF(J13:J64, "&lt;&gt;Yes", T13:T64),1)</f>
        <v>224</v>
      </c>
      <c r="T12" s="302"/>
      <c r="U12" s="58"/>
      <c r="V12" s="58"/>
      <c r="W12" s="58"/>
      <c r="X12" s="58"/>
      <c r="Y12" s="58"/>
      <c r="Z12" s="58"/>
      <c r="AA12" s="58"/>
      <c r="AB12" s="58"/>
      <c r="AC12" s="58"/>
      <c r="AD12" s="16"/>
    </row>
    <row r="13" spans="1:30" s="11" customFormat="1" ht="3" hidden="1" customHeight="1" outlineLevel="1" x14ac:dyDescent="0.3">
      <c r="A13" s="93" t="s">
        <v>99</v>
      </c>
      <c r="B13" s="18"/>
      <c r="C13" s="202"/>
      <c r="D13" s="202"/>
      <c r="E13" s="202"/>
      <c r="F13" s="202"/>
      <c r="G13" s="28"/>
      <c r="H13" s="28"/>
      <c r="I13" s="28"/>
      <c r="J13" s="28"/>
      <c r="K13" s="28"/>
      <c r="L13" s="29">
        <v>0</v>
      </c>
      <c r="M13" s="285"/>
      <c r="N13" s="28"/>
      <c r="O13" s="28"/>
      <c r="P13" s="28"/>
      <c r="Q13" s="28"/>
      <c r="R13" s="28"/>
      <c r="S13" s="28"/>
      <c r="T13" s="30"/>
      <c r="U13" s="28"/>
      <c r="V13" s="28"/>
      <c r="W13" s="28"/>
      <c r="X13" s="30"/>
      <c r="Y13" s="28"/>
      <c r="Z13" s="28"/>
      <c r="AA13" s="28"/>
      <c r="AB13" s="31"/>
      <c r="AC13" s="31"/>
      <c r="AD13" s="12"/>
    </row>
    <row r="14" spans="1:30" s="17" customFormat="1" ht="15.6" hidden="1" outlineLevel="1" collapsed="1" x14ac:dyDescent="0.3">
      <c r="A14" s="93" t="s">
        <v>100</v>
      </c>
      <c r="B14" s="21"/>
      <c r="C14" s="84"/>
      <c r="D14" s="84"/>
      <c r="E14" s="84"/>
      <c r="F14" s="83"/>
      <c r="G14" s="32"/>
      <c r="H14" s="32"/>
      <c r="I14" s="32"/>
      <c r="J14" s="32"/>
      <c r="K14" s="32"/>
      <c r="L14" s="20">
        <f ca="1">LOOKUP(1000,INDIRECT("L1:"&amp;CELL("address",INDIRECT("R[-1]C",FALSE))))+1</f>
        <v>1</v>
      </c>
      <c r="M14" s="301" t="s">
        <v>458</v>
      </c>
      <c r="N14" s="301"/>
      <c r="O14" s="5"/>
      <c r="P14" s="33"/>
      <c r="Q14" s="33"/>
      <c r="R14" s="33"/>
      <c r="S14" s="33"/>
      <c r="T14" s="167">
        <f>IF($S$6="Exclude", SUMIFS(S15:S19, J15:J19, "&lt;&gt;Yes", G15:G19, "&lt;&gt;Yes"), SUMIFS(S15:S19, J15:J19, "&lt;&gt;Yes"))</f>
        <v>34</v>
      </c>
      <c r="U14" s="33"/>
      <c r="V14" s="33"/>
      <c r="W14" s="33"/>
      <c r="X14" s="34"/>
      <c r="Y14" s="35"/>
      <c r="Z14" s="35"/>
      <c r="AA14" s="35"/>
      <c r="AB14" s="240"/>
      <c r="AC14" s="36"/>
      <c r="AD14" s="26" t="str">
        <f>IF(M14="", "Error: Task name cannot be empty.", "")</f>
        <v/>
      </c>
    </row>
    <row r="15" spans="1:30" s="15" customFormat="1" ht="1.5" hidden="1" customHeight="1" outlineLevel="2" x14ac:dyDescent="0.3">
      <c r="A15" s="93" t="s">
        <v>101</v>
      </c>
      <c r="B15" s="21"/>
      <c r="C15" s="84"/>
      <c r="D15" s="84"/>
      <c r="E15" s="84"/>
      <c r="F15" s="83"/>
      <c r="G15" s="32"/>
      <c r="H15" s="32"/>
      <c r="I15" s="32"/>
      <c r="J15" s="32"/>
      <c r="K15" s="32"/>
      <c r="L15" s="175">
        <f ca="1">L14</f>
        <v>1</v>
      </c>
      <c r="M15" s="176" t="s">
        <v>105</v>
      </c>
      <c r="N15" s="173"/>
      <c r="O15" s="174"/>
      <c r="P15" s="33"/>
      <c r="Q15" s="33"/>
      <c r="R15" s="33"/>
      <c r="S15" s="33"/>
      <c r="T15" s="167"/>
      <c r="U15" s="33"/>
      <c r="V15" s="33"/>
      <c r="W15" s="33"/>
      <c r="X15" s="34"/>
      <c r="Y15" s="35"/>
      <c r="Z15" s="35"/>
      <c r="AA15" s="35"/>
      <c r="AB15" s="36"/>
      <c r="AC15" s="36"/>
      <c r="AD15" s="26"/>
    </row>
    <row r="16" spans="1:30" ht="57.6" hidden="1" outlineLevel="2" x14ac:dyDescent="0.3">
      <c r="A16" s="93" t="s">
        <v>0</v>
      </c>
      <c r="B16" s="21"/>
      <c r="C16" s="85"/>
      <c r="D16" s="85"/>
      <c r="E16" s="85"/>
      <c r="F16" s="86"/>
      <c r="G16" s="22" t="s">
        <v>6</v>
      </c>
      <c r="H16" s="22" t="s">
        <v>23</v>
      </c>
      <c r="I16" s="23" t="s">
        <v>23</v>
      </c>
      <c r="J16" s="22" t="s">
        <v>23</v>
      </c>
      <c r="K16" s="38" t="s">
        <v>528</v>
      </c>
      <c r="L16" s="22"/>
      <c r="M16" s="286" t="str">
        <f ca="1">IFERROR(OFFSET(M16,-1,,1,1)+0.1,OFFSET(M16,-1,-1,1,1)&amp;".1")</f>
        <v>1.1</v>
      </c>
      <c r="N16" s="23" t="s">
        <v>459</v>
      </c>
      <c r="O16" s="23"/>
      <c r="P16" s="23"/>
      <c r="Q16" s="144">
        <v>6</v>
      </c>
      <c r="R16" s="137"/>
      <c r="S16" s="169">
        <f>CEILING((IF(J16="Yes", 0, IF(H16="-",AA16,AA16+AA16*VLOOKUP(H16,BUFFERS_BY_TYPE,2,FALSE)))) +
   (IF(J16="Yes", 0, IF(H16="-",AA16,AA16+AA16*VLOOKUP(H16,BUFFERS_BY_TYPE,2,FALSE))))*VLOOKUP($S$5, SALES_CALL_SCALE_ARRAY, 2,FALSE),0.25)</f>
        <v>7.25</v>
      </c>
      <c r="T16" s="170"/>
      <c r="U16" s="24">
        <v>0.4</v>
      </c>
      <c r="V16" s="24">
        <v>0.5</v>
      </c>
      <c r="W16" s="24">
        <v>0.1</v>
      </c>
      <c r="X16" s="168">
        <v>1</v>
      </c>
      <c r="Y16" s="169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7.25</v>
      </c>
      <c r="Z16" s="25"/>
      <c r="AA16" s="169">
        <f>Y16+Y16*VLOOKUP(I16,EXTRAS_ARRAY,2,FALSE)</f>
        <v>7.25</v>
      </c>
      <c r="AB16" s="23" t="s">
        <v>593</v>
      </c>
      <c r="AC16" s="37"/>
      <c r="AD16" s="26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43.2" hidden="1" outlineLevel="2" x14ac:dyDescent="0.3">
      <c r="A17" s="93" t="s">
        <v>0</v>
      </c>
      <c r="B17" s="21"/>
      <c r="C17" s="85"/>
      <c r="D17" s="85"/>
      <c r="E17" s="85"/>
      <c r="F17" s="86"/>
      <c r="G17" s="22" t="s">
        <v>23</v>
      </c>
      <c r="H17" s="22" t="s">
        <v>23</v>
      </c>
      <c r="I17" s="23" t="s">
        <v>23</v>
      </c>
      <c r="J17" s="22" t="s">
        <v>23</v>
      </c>
      <c r="K17" s="38"/>
      <c r="L17" s="22"/>
      <c r="M17" s="286">
        <f ca="1">IFERROR(OFFSET(M17,-1,,1,1)+0.1,OFFSET(M17,-1,-1,1,1)&amp;".1")</f>
        <v>1.2000000000000002</v>
      </c>
      <c r="N17" s="23" t="s">
        <v>542</v>
      </c>
      <c r="O17" s="23"/>
      <c r="P17" s="23"/>
      <c r="Q17" s="144">
        <v>10</v>
      </c>
      <c r="R17" s="137"/>
      <c r="S17" s="169">
        <f>CEILING((IF(J17="Yes", 0, IF(H17="-",AA17,AA17+AA17*VLOOKUP(H17,BUFFERS_BY_TYPE,2,FALSE)))) +
   (IF(J17="Yes", 0, IF(H17="-",AA17,AA17+AA17*VLOOKUP(H17,BUFFERS_BY_TYPE,2,FALSE))))*VLOOKUP($S$5, SALES_CALL_SCALE_ARRAY, 2,FALSE),0.25)</f>
        <v>11.75</v>
      </c>
      <c r="T17" s="170"/>
      <c r="U17" s="24">
        <v>0.4</v>
      </c>
      <c r="V17" s="24">
        <v>0.5</v>
      </c>
      <c r="W17" s="24">
        <v>0.1</v>
      </c>
      <c r="X17" s="168">
        <v>1</v>
      </c>
      <c r="Y17" s="169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11.75</v>
      </c>
      <c r="Z17" s="25"/>
      <c r="AA17" s="169">
        <f>Y17+Y17*VLOOKUP(I17,EXTRAS_ARRAY,2,FALSE)</f>
        <v>11.75</v>
      </c>
      <c r="AB17" s="23"/>
      <c r="AC17" s="37"/>
      <c r="AD17" s="26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29.6" hidden="1" outlineLevel="2" x14ac:dyDescent="0.3">
      <c r="A18" s="93" t="s">
        <v>0</v>
      </c>
      <c r="B18" s="21"/>
      <c r="C18" s="85"/>
      <c r="D18" s="85"/>
      <c r="E18" s="85"/>
      <c r="F18" s="86"/>
      <c r="G18" s="22" t="s">
        <v>23</v>
      </c>
      <c r="H18" s="22" t="s">
        <v>23</v>
      </c>
      <c r="I18" s="23" t="s">
        <v>23</v>
      </c>
      <c r="J18" s="22" t="s">
        <v>23</v>
      </c>
      <c r="K18" s="38"/>
      <c r="L18" s="22"/>
      <c r="M18" s="286">
        <f ca="1">IFERROR(OFFSET(M18,-1,,1,1)+0.1,OFFSET(M18,-1,-1,1,1)&amp;".1")</f>
        <v>1.3000000000000003</v>
      </c>
      <c r="N18" s="23" t="s">
        <v>547</v>
      </c>
      <c r="O18" s="23"/>
      <c r="P18" s="23" t="s">
        <v>548</v>
      </c>
      <c r="Q18" s="144">
        <v>30</v>
      </c>
      <c r="R18" s="137">
        <v>2</v>
      </c>
      <c r="S18" s="169">
        <f>CEILING((IF(J18="Yes", 0, IF(H18="-",AA18,AA18+AA18*VLOOKUP(H18,BUFFERS_BY_TYPE,2,FALSE)))) +
   (IF(J18="Yes", 0, IF(H18="-",AA18,AA18+AA18*VLOOKUP(H18,BUFFERS_BY_TYPE,2,FALSE))))*VLOOKUP($S$5, SALES_CALL_SCALE_ARRAY, 2,FALSE),0.25)</f>
        <v>15</v>
      </c>
      <c r="T18" s="170"/>
      <c r="U18" s="24">
        <v>0</v>
      </c>
      <c r="V18" s="24">
        <v>1</v>
      </c>
      <c r="W18" s="24">
        <v>0</v>
      </c>
      <c r="X18" s="168">
        <v>0.25</v>
      </c>
      <c r="Y18" s="169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15</v>
      </c>
      <c r="Z18" s="25"/>
      <c r="AA18" s="169">
        <f>Y18+Y18*VLOOKUP(I18,EXTRAS_ARRAY,2,FALSE)</f>
        <v>15</v>
      </c>
      <c r="AB18" s="23" t="s">
        <v>594</v>
      </c>
      <c r="AC18" s="37"/>
      <c r="AD18" s="26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11" customFormat="1" ht="7.5" hidden="1" customHeight="1" outlineLevel="2" x14ac:dyDescent="0.3">
      <c r="A19" s="93" t="s">
        <v>132</v>
      </c>
      <c r="B19" s="18"/>
      <c r="C19" s="78"/>
      <c r="D19" s="78"/>
      <c r="E19" s="78"/>
      <c r="F19" s="78"/>
      <c r="G19" s="10"/>
      <c r="H19" s="10"/>
      <c r="I19" s="10"/>
      <c r="J19" s="10"/>
      <c r="K19" s="10"/>
      <c r="L19" s="10"/>
      <c r="M19" s="287"/>
      <c r="N19" s="10"/>
      <c r="O19" s="10"/>
      <c r="P19" s="10"/>
      <c r="Q19" s="10"/>
      <c r="R19" s="10"/>
      <c r="S19" s="10"/>
      <c r="T19" s="18"/>
      <c r="U19" s="10"/>
      <c r="V19" s="10"/>
      <c r="W19" s="10"/>
      <c r="X19" s="18"/>
      <c r="Y19" s="10"/>
      <c r="Z19" s="10"/>
      <c r="AA19" s="10"/>
      <c r="AB19" s="60"/>
      <c r="AC19" s="60"/>
      <c r="AD19" s="12"/>
    </row>
    <row r="20" spans="1:30" s="17" customFormat="1" ht="15.6" hidden="1" outlineLevel="1" collapsed="1" x14ac:dyDescent="0.3">
      <c r="A20" s="93" t="s">
        <v>100</v>
      </c>
      <c r="B20" s="21"/>
      <c r="C20" s="84"/>
      <c r="D20" s="84"/>
      <c r="E20" s="84"/>
      <c r="F20" s="83"/>
      <c r="G20" s="32"/>
      <c r="H20" s="32"/>
      <c r="I20" s="32"/>
      <c r="J20" s="32"/>
      <c r="K20" s="32"/>
      <c r="L20" s="20">
        <f ca="1">LOOKUP(1000,INDIRECT("L1:"&amp;CELL("address",INDIRECT("R[-1]C",FALSE))))+1</f>
        <v>2</v>
      </c>
      <c r="M20" s="301" t="s">
        <v>460</v>
      </c>
      <c r="N20" s="301"/>
      <c r="O20" s="5"/>
      <c r="P20" s="33"/>
      <c r="Q20" s="33"/>
      <c r="R20" s="33"/>
      <c r="S20" s="33"/>
      <c r="T20" s="167">
        <f>IF($S$6="Exclude", SUMIFS(S21:S25, J21:J25, "&lt;&gt;Yes", G21:G25, "&lt;&gt;Yes"), SUMIFS(S21:S25, J21:J25, "&lt;&gt;Yes"))</f>
        <v>67</v>
      </c>
      <c r="U20" s="33"/>
      <c r="V20" s="33"/>
      <c r="W20" s="33"/>
      <c r="X20" s="34"/>
      <c r="Y20" s="35"/>
      <c r="Z20" s="35"/>
      <c r="AA20" s="35"/>
      <c r="AB20" s="240"/>
      <c r="AC20" s="36"/>
      <c r="AD20" s="26" t="str">
        <f>IF(M20="", "Error: Task name cannot be empty.", "")</f>
        <v/>
      </c>
    </row>
    <row r="21" spans="1:30" s="15" customFormat="1" ht="1.5" hidden="1" customHeight="1" outlineLevel="2" x14ac:dyDescent="0.3">
      <c r="A21" s="93" t="s">
        <v>101</v>
      </c>
      <c r="B21" s="21"/>
      <c r="C21" s="84"/>
      <c r="D21" s="84"/>
      <c r="E21" s="84"/>
      <c r="F21" s="83"/>
      <c r="G21" s="32"/>
      <c r="H21" s="32"/>
      <c r="I21" s="32"/>
      <c r="J21" s="32"/>
      <c r="K21" s="32"/>
      <c r="L21" s="175">
        <f ca="1">L20</f>
        <v>2</v>
      </c>
      <c r="M21" s="176" t="s">
        <v>105</v>
      </c>
      <c r="N21" s="173"/>
      <c r="O21" s="174"/>
      <c r="P21" s="33"/>
      <c r="Q21" s="33"/>
      <c r="R21" s="33"/>
      <c r="S21" s="33"/>
      <c r="T21" s="167"/>
      <c r="U21" s="33"/>
      <c r="V21" s="33"/>
      <c r="W21" s="33"/>
      <c r="X21" s="34"/>
      <c r="Y21" s="35"/>
      <c r="Z21" s="35"/>
      <c r="AA21" s="35"/>
      <c r="AB21" s="36"/>
      <c r="AC21" s="36"/>
      <c r="AD21" s="26"/>
    </row>
    <row r="22" spans="1:30" ht="43.2" hidden="1" outlineLevel="2" x14ac:dyDescent="0.3">
      <c r="A22" s="93" t="s">
        <v>0</v>
      </c>
      <c r="B22" s="21"/>
      <c r="C22" s="85"/>
      <c r="D22" s="85"/>
      <c r="E22" s="85"/>
      <c r="F22" s="86"/>
      <c r="G22" s="22" t="s">
        <v>23</v>
      </c>
      <c r="H22" s="22" t="s">
        <v>23</v>
      </c>
      <c r="I22" s="23" t="s">
        <v>23</v>
      </c>
      <c r="J22" s="22" t="s">
        <v>23</v>
      </c>
      <c r="K22" s="38"/>
      <c r="L22" s="22"/>
      <c r="M22" s="286" t="str">
        <f ca="1">IFERROR(OFFSET(M22,-1,,1,1)+0.1,OFFSET(M22,-1,-1,1,1)&amp;".1")</f>
        <v>2.1</v>
      </c>
      <c r="N22" s="23" t="s">
        <v>549</v>
      </c>
      <c r="O22" s="23"/>
      <c r="P22" s="23"/>
      <c r="Q22" s="144">
        <v>7</v>
      </c>
      <c r="R22" s="137">
        <v>6</v>
      </c>
      <c r="S22" s="169">
        <f>CEILING((IF(J22="Yes", 0, IF(H22="-",AA22,AA22+AA22*VLOOKUP(H22,BUFFERS_BY_TYPE,2,FALSE)))) +
   (IF(J22="Yes", 0, IF(H22="-",AA22,AA22+AA22*VLOOKUP(H22,BUFFERS_BY_TYPE,2,FALSE))))*VLOOKUP($S$5, SALES_CALL_SCALE_ARRAY, 2,FALSE),0.25)</f>
        <v>31.5</v>
      </c>
      <c r="T22" s="170"/>
      <c r="U22" s="24">
        <v>0</v>
      </c>
      <c r="V22" s="24">
        <v>0</v>
      </c>
      <c r="W22" s="24">
        <v>1</v>
      </c>
      <c r="X22" s="168">
        <v>1</v>
      </c>
      <c r="Y22" s="169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31.5</v>
      </c>
      <c r="Z22" s="25"/>
      <c r="AA22" s="169">
        <f>Y22+Y22*VLOOKUP(I22,EXTRAS_ARRAY,2,FALSE)</f>
        <v>31.5</v>
      </c>
      <c r="AB22" s="23"/>
      <c r="AC22" s="37"/>
      <c r="AD22" s="26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43.2" hidden="1" outlineLevel="2" x14ac:dyDescent="0.3">
      <c r="A23" s="93" t="s">
        <v>0</v>
      </c>
      <c r="B23" s="21"/>
      <c r="C23" s="85"/>
      <c r="D23" s="85"/>
      <c r="E23" s="85"/>
      <c r="F23" s="86"/>
      <c r="G23" s="22" t="s">
        <v>23</v>
      </c>
      <c r="H23" s="22" t="s">
        <v>23</v>
      </c>
      <c r="I23" s="23" t="s">
        <v>23</v>
      </c>
      <c r="J23" s="22" t="s">
        <v>23</v>
      </c>
      <c r="K23" s="38"/>
      <c r="L23" s="22"/>
      <c r="M23" s="286">
        <f ca="1">IFERROR(OFFSET(M23,-1,,1,1)+0.1,OFFSET(M23,-1,-1,1,1)&amp;".1")</f>
        <v>2.2000000000000002</v>
      </c>
      <c r="N23" s="23" t="s">
        <v>461</v>
      </c>
      <c r="O23" s="23" t="s">
        <v>530</v>
      </c>
      <c r="P23" s="23"/>
      <c r="Q23" s="144">
        <v>30</v>
      </c>
      <c r="R23" s="137">
        <v>1</v>
      </c>
      <c r="S23" s="169">
        <f>CEILING((IF(J23="Yes", 0, IF(H23="-",AA23,AA23+AA23*VLOOKUP(H23,BUFFERS_BY_TYPE,2,FALSE)))) +
   (IF(J23="Yes", 0, IF(H23="-",AA23,AA23+AA23*VLOOKUP(H23,BUFFERS_BY_TYPE,2,FALSE))))*VLOOKUP($S$5, SALES_CALL_SCALE_ARRAY, 2,FALSE),0.25)</f>
        <v>17.75</v>
      </c>
      <c r="T23" s="170"/>
      <c r="U23" s="24">
        <v>0.4</v>
      </c>
      <c r="V23" s="24">
        <v>0.5</v>
      </c>
      <c r="W23" s="24">
        <v>0.1</v>
      </c>
      <c r="X23" s="168">
        <v>0.5</v>
      </c>
      <c r="Y23" s="169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17.75</v>
      </c>
      <c r="Z23" s="25"/>
      <c r="AA23" s="169">
        <f>Y23+Y23*VLOOKUP(I23,EXTRAS_ARRAY,2,FALSE)</f>
        <v>17.75</v>
      </c>
      <c r="AB23" s="23"/>
      <c r="AC23" s="37"/>
      <c r="AD23" s="26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43.2" hidden="1" outlineLevel="2" x14ac:dyDescent="0.3">
      <c r="A24" s="93" t="s">
        <v>0</v>
      </c>
      <c r="B24" s="21"/>
      <c r="C24" s="85"/>
      <c r="D24" s="85"/>
      <c r="E24" s="85"/>
      <c r="F24" s="86"/>
      <c r="G24" s="22" t="s">
        <v>23</v>
      </c>
      <c r="H24" s="22" t="s">
        <v>23</v>
      </c>
      <c r="I24" s="23" t="s">
        <v>23</v>
      </c>
      <c r="J24" s="22" t="s">
        <v>23</v>
      </c>
      <c r="K24" s="38" t="s">
        <v>529</v>
      </c>
      <c r="L24" s="22"/>
      <c r="M24" s="286">
        <f ca="1">IFERROR(OFFSET(M24,-1,,1,1)+0.1,OFFSET(M24,-1,-1,1,1)&amp;".1")</f>
        <v>2.3000000000000003</v>
      </c>
      <c r="N24" s="23" t="s">
        <v>462</v>
      </c>
      <c r="O24" s="23"/>
      <c r="P24" s="23"/>
      <c r="Q24" s="144">
        <v>30</v>
      </c>
      <c r="R24" s="137">
        <v>1</v>
      </c>
      <c r="S24" s="169">
        <f>CEILING((IF(J24="Yes", 0, IF(H24="-",AA24,AA24+AA24*VLOOKUP(H24,BUFFERS_BY_TYPE,2,FALSE)))) +
   (IF(J24="Yes", 0, IF(H24="-",AA24,AA24+AA24*VLOOKUP(H24,BUFFERS_BY_TYPE,2,FALSE))))*VLOOKUP($S$5, SALES_CALL_SCALE_ARRAY, 2,FALSE),0.25)</f>
        <v>17.75</v>
      </c>
      <c r="T24" s="170"/>
      <c r="U24" s="24">
        <v>0.4</v>
      </c>
      <c r="V24" s="24">
        <v>0.5</v>
      </c>
      <c r="W24" s="24">
        <v>0.1</v>
      </c>
      <c r="X24" s="168">
        <v>0.5</v>
      </c>
      <c r="Y24" s="169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17.75</v>
      </c>
      <c r="Z24" s="25"/>
      <c r="AA24" s="169">
        <f>Y24+Y24*VLOOKUP(I24,EXTRAS_ARRAY,2,FALSE)</f>
        <v>17.75</v>
      </c>
      <c r="AB24" s="23"/>
      <c r="AC24" s="37"/>
      <c r="AD24" s="26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11" customFormat="1" ht="7.5" hidden="1" customHeight="1" outlineLevel="2" x14ac:dyDescent="0.3">
      <c r="A25" s="93" t="s">
        <v>132</v>
      </c>
      <c r="B25" s="18"/>
      <c r="C25" s="78"/>
      <c r="D25" s="78"/>
      <c r="E25" s="78"/>
      <c r="F25" s="78"/>
      <c r="G25" s="10"/>
      <c r="H25" s="10"/>
      <c r="I25" s="10"/>
      <c r="J25" s="10"/>
      <c r="K25" s="10"/>
      <c r="L25" s="10"/>
      <c r="M25" s="287"/>
      <c r="N25" s="10"/>
      <c r="O25" s="10"/>
      <c r="P25" s="10"/>
      <c r="Q25" s="10"/>
      <c r="R25" s="10"/>
      <c r="S25" s="10"/>
      <c r="T25" s="18"/>
      <c r="U25" s="10"/>
      <c r="V25" s="10"/>
      <c r="W25" s="10"/>
      <c r="X25" s="18"/>
      <c r="Y25" s="10"/>
      <c r="Z25" s="10"/>
      <c r="AA25" s="10"/>
      <c r="AB25" s="60"/>
      <c r="AC25" s="60"/>
      <c r="AD25" s="12"/>
    </row>
    <row r="26" spans="1:30" s="17" customFormat="1" ht="15.6" hidden="1" outlineLevel="1" collapsed="1" x14ac:dyDescent="0.3">
      <c r="A26" s="93" t="s">
        <v>100</v>
      </c>
      <c r="B26" s="21"/>
      <c r="C26" s="84"/>
      <c r="D26" s="84"/>
      <c r="E26" s="84"/>
      <c r="F26" s="83"/>
      <c r="G26" s="32"/>
      <c r="H26" s="32"/>
      <c r="I26" s="32"/>
      <c r="J26" s="32"/>
      <c r="K26" s="32"/>
      <c r="L26" s="20">
        <f ca="1">LOOKUP(1000,INDIRECT("L1:"&amp;CELL("address",INDIRECT("R[-1]C",FALSE))))+1</f>
        <v>3</v>
      </c>
      <c r="M26" s="301" t="s">
        <v>541</v>
      </c>
      <c r="N26" s="301"/>
      <c r="O26" s="5"/>
      <c r="P26" s="33"/>
      <c r="Q26" s="33"/>
      <c r="R26" s="33"/>
      <c r="S26" s="33"/>
      <c r="T26" s="167">
        <f>IF($S$6="Exclude", SUMIFS(S27:S32, J27:J32, "&lt;&gt;Yes", G27:G32, "&lt;&gt;Yes"), SUMIFS(S27:S32, J27:J32, "&lt;&gt;Yes"))</f>
        <v>12</v>
      </c>
      <c r="U26" s="33"/>
      <c r="V26" s="33"/>
      <c r="W26" s="33"/>
      <c r="X26" s="34"/>
      <c r="Y26" s="35"/>
      <c r="Z26" s="35"/>
      <c r="AA26" s="35"/>
      <c r="AB26" s="240"/>
      <c r="AC26" s="36"/>
      <c r="AD26" s="26" t="str">
        <f>IF(M26="", "Error: Task name cannot be empty.", "")</f>
        <v/>
      </c>
    </row>
    <row r="27" spans="1:30" s="15" customFormat="1" ht="1.5" hidden="1" customHeight="1" outlineLevel="2" x14ac:dyDescent="0.3">
      <c r="A27" s="93" t="s">
        <v>101</v>
      </c>
      <c r="B27" s="21"/>
      <c r="C27" s="84"/>
      <c r="D27" s="84"/>
      <c r="E27" s="84"/>
      <c r="F27" s="83"/>
      <c r="G27" s="32"/>
      <c r="H27" s="32"/>
      <c r="I27" s="32"/>
      <c r="J27" s="32"/>
      <c r="K27" s="32"/>
      <c r="L27" s="175">
        <f ca="1">L26</f>
        <v>3</v>
      </c>
      <c r="M27" s="176" t="s">
        <v>105</v>
      </c>
      <c r="N27" s="173"/>
      <c r="O27" s="174"/>
      <c r="P27" s="33"/>
      <c r="Q27" s="33"/>
      <c r="R27" s="33"/>
      <c r="S27" s="33"/>
      <c r="T27" s="167"/>
      <c r="U27" s="33"/>
      <c r="V27" s="33"/>
      <c r="W27" s="33"/>
      <c r="X27" s="34"/>
      <c r="Y27" s="35"/>
      <c r="Z27" s="35"/>
      <c r="AA27" s="35"/>
      <c r="AB27" s="36"/>
      <c r="AC27" s="36"/>
      <c r="AD27" s="26"/>
    </row>
    <row r="28" spans="1:30" ht="43.2" hidden="1" outlineLevel="2" x14ac:dyDescent="0.3">
      <c r="A28" s="93" t="s">
        <v>0</v>
      </c>
      <c r="B28" s="21"/>
      <c r="C28" s="85"/>
      <c r="D28" s="85"/>
      <c r="E28" s="85"/>
      <c r="F28" s="86"/>
      <c r="G28" s="22" t="s">
        <v>23</v>
      </c>
      <c r="H28" s="22" t="s">
        <v>23</v>
      </c>
      <c r="I28" s="23" t="s">
        <v>23</v>
      </c>
      <c r="J28" s="22" t="s">
        <v>23</v>
      </c>
      <c r="K28" s="38"/>
      <c r="L28" s="22"/>
      <c r="M28" s="286" t="str">
        <f ca="1">IFERROR(OFFSET(M28,-1,,1,1)+0.1,OFFSET(M28,-1,-1,1,1)&amp;".1")</f>
        <v>3.1</v>
      </c>
      <c r="N28" s="23" t="s">
        <v>550</v>
      </c>
      <c r="O28" s="23"/>
      <c r="P28" s="23"/>
      <c r="Q28" s="144">
        <v>2</v>
      </c>
      <c r="R28" s="137"/>
      <c r="S28" s="169">
        <f>CEILING((IF(J28="Yes", 0, IF(H28="-",AA28,AA28+AA28*VLOOKUP(H28,BUFFERS_BY_TYPE,2,FALSE)))) +
   (IF(J28="Yes", 0, IF(H28="-",AA28,AA28+AA28*VLOOKUP(H28,BUFFERS_BY_TYPE,2,FALSE))))*VLOOKUP($S$5, SALES_CALL_SCALE_ARRAY, 2,FALSE),0.25)</f>
        <v>2</v>
      </c>
      <c r="T28" s="170"/>
      <c r="U28" s="24">
        <v>0</v>
      </c>
      <c r="V28" s="24">
        <v>1</v>
      </c>
      <c r="W28" s="24">
        <v>0</v>
      </c>
      <c r="X28" s="168">
        <v>1</v>
      </c>
      <c r="Y28" s="169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2</v>
      </c>
      <c r="Z28" s="25"/>
      <c r="AA28" s="169">
        <f>Y28+Y28*VLOOKUP(I28,EXTRAS_ARRAY,2,FALSE)</f>
        <v>2</v>
      </c>
      <c r="AB28" s="23"/>
      <c r="AC28" s="37"/>
      <c r="AD28" s="26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15.6" hidden="1" outlineLevel="2" x14ac:dyDescent="0.3">
      <c r="A29" s="93" t="s">
        <v>0</v>
      </c>
      <c r="B29" s="21"/>
      <c r="C29" s="85"/>
      <c r="D29" s="85"/>
      <c r="E29" s="85"/>
      <c r="F29" s="86"/>
      <c r="G29" s="22" t="s">
        <v>23</v>
      </c>
      <c r="H29" s="22" t="s">
        <v>23</v>
      </c>
      <c r="I29" s="23" t="s">
        <v>23</v>
      </c>
      <c r="J29" s="22" t="s">
        <v>23</v>
      </c>
      <c r="K29" s="38"/>
      <c r="L29" s="22"/>
      <c r="M29" s="286">
        <f ca="1">IFERROR(OFFSET(M29,-1,,1,1)+0.1,OFFSET(M29,-1,-1,1,1)&amp;".1")</f>
        <v>3.2</v>
      </c>
      <c r="N29" s="23" t="s">
        <v>551</v>
      </c>
      <c r="O29" s="23" t="s">
        <v>554</v>
      </c>
      <c r="P29" s="23"/>
      <c r="Q29" s="144">
        <v>10</v>
      </c>
      <c r="R29" s="137"/>
      <c r="S29" s="169">
        <f>CEILING((IF(J29="Yes", 0, IF(H29="-",AA29,AA29+AA29*VLOOKUP(H29,BUFFERS_BY_TYPE,2,FALSE)))) +
   (IF(J29="Yes", 0, IF(H29="-",AA29,AA29+AA29*VLOOKUP(H29,BUFFERS_BY_TYPE,2,FALSE))))*VLOOKUP($S$5, SALES_CALL_SCALE_ARRAY, 2,FALSE),0.25)</f>
        <v>2.5</v>
      </c>
      <c r="T29" s="170"/>
      <c r="U29" s="24">
        <v>0</v>
      </c>
      <c r="V29" s="24">
        <v>1</v>
      </c>
      <c r="W29" s="24">
        <v>0</v>
      </c>
      <c r="X29" s="168">
        <v>0.25</v>
      </c>
      <c r="Y29" s="169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2.5</v>
      </c>
      <c r="Z29" s="25"/>
      <c r="AA29" s="169">
        <f>Y29+Y29*VLOOKUP(I29,EXTRAS_ARRAY,2,FALSE)</f>
        <v>2.5</v>
      </c>
      <c r="AB29" s="23" t="s">
        <v>595</v>
      </c>
      <c r="AC29" s="37"/>
      <c r="AD29" s="26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43.2" hidden="1" outlineLevel="2" x14ac:dyDescent="0.3">
      <c r="A30" s="93" t="s">
        <v>0</v>
      </c>
      <c r="B30" s="21"/>
      <c r="C30" s="85"/>
      <c r="D30" s="85"/>
      <c r="E30" s="85"/>
      <c r="F30" s="86"/>
      <c r="G30" s="22" t="s">
        <v>23</v>
      </c>
      <c r="H30" s="22" t="s">
        <v>23</v>
      </c>
      <c r="I30" s="23" t="s">
        <v>23</v>
      </c>
      <c r="J30" s="22" t="s">
        <v>23</v>
      </c>
      <c r="K30" s="38"/>
      <c r="L30" s="22"/>
      <c r="M30" s="286">
        <f ca="1">IFERROR(OFFSET(M30,-1,,1,1)+0.1,OFFSET(M30,-1,-1,1,1)&amp;".1")</f>
        <v>3.3000000000000003</v>
      </c>
      <c r="N30" s="23" t="s">
        <v>552</v>
      </c>
      <c r="O30" s="23" t="s">
        <v>554</v>
      </c>
      <c r="P30" s="23"/>
      <c r="Q30" s="144">
        <v>10</v>
      </c>
      <c r="R30" s="137"/>
      <c r="S30" s="169">
        <f>CEILING((IF(J30="Yes", 0, IF(H30="-",AA30,AA30+AA30*VLOOKUP(H30,BUFFERS_BY_TYPE,2,FALSE)))) +
   (IF(J30="Yes", 0, IF(H30="-",AA30,AA30+AA30*VLOOKUP(H30,BUFFERS_BY_TYPE,2,FALSE))))*VLOOKUP($S$5, SALES_CALL_SCALE_ARRAY, 2,FALSE),0.25)</f>
        <v>2.5</v>
      </c>
      <c r="T30" s="170"/>
      <c r="U30" s="24">
        <v>0</v>
      </c>
      <c r="V30" s="24">
        <v>1</v>
      </c>
      <c r="W30" s="24">
        <v>0</v>
      </c>
      <c r="X30" s="168">
        <v>0.25</v>
      </c>
      <c r="Y30" s="169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2.5</v>
      </c>
      <c r="Z30" s="25"/>
      <c r="AA30" s="169">
        <f>Y30+Y30*VLOOKUP(I30,EXTRAS_ARRAY,2,FALSE)</f>
        <v>2.5</v>
      </c>
      <c r="AB30" s="23"/>
      <c r="AC30" s="37"/>
      <c r="AD30" s="26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43.2" hidden="1" outlineLevel="2" x14ac:dyDescent="0.3">
      <c r="A31" s="93" t="s">
        <v>0</v>
      </c>
      <c r="B31" s="21"/>
      <c r="C31" s="85"/>
      <c r="D31" s="85"/>
      <c r="E31" s="85"/>
      <c r="F31" s="86"/>
      <c r="G31" s="22" t="s">
        <v>23</v>
      </c>
      <c r="H31" s="22" t="s">
        <v>23</v>
      </c>
      <c r="I31" s="23" t="s">
        <v>23</v>
      </c>
      <c r="J31" s="22" t="s">
        <v>23</v>
      </c>
      <c r="K31" s="38"/>
      <c r="L31" s="22"/>
      <c r="M31" s="286">
        <f ca="1">IFERROR(OFFSET(M31,-1,,1,1)+0.1,OFFSET(M31,-1,-1,1,1)&amp;".1")</f>
        <v>3.4000000000000004</v>
      </c>
      <c r="N31" s="23" t="s">
        <v>553</v>
      </c>
      <c r="O31" s="23"/>
      <c r="P31" s="23"/>
      <c r="Q31" s="144">
        <v>5</v>
      </c>
      <c r="R31" s="137"/>
      <c r="S31" s="169">
        <f>CEILING((IF(J31="Yes", 0, IF(H31="-",AA31,AA31+AA31*VLOOKUP(H31,BUFFERS_BY_TYPE,2,FALSE)))) +
   (IF(J31="Yes", 0, IF(H31="-",AA31,AA31+AA31*VLOOKUP(H31,BUFFERS_BY_TYPE,2,FALSE))))*VLOOKUP($S$5, SALES_CALL_SCALE_ARRAY, 2,FALSE),0.25)</f>
        <v>5</v>
      </c>
      <c r="T31" s="170"/>
      <c r="U31" s="24">
        <v>0</v>
      </c>
      <c r="V31" s="24">
        <v>1</v>
      </c>
      <c r="W31" s="24">
        <v>0</v>
      </c>
      <c r="X31" s="168">
        <v>1</v>
      </c>
      <c r="Y31" s="169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5</v>
      </c>
      <c r="Z31" s="25"/>
      <c r="AA31" s="169">
        <f>Y31+Y31*VLOOKUP(I31,EXTRAS_ARRAY,2,FALSE)</f>
        <v>5</v>
      </c>
      <c r="AB31" s="23"/>
      <c r="AC31" s="37"/>
      <c r="AD31" s="26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11" customFormat="1" ht="7.5" hidden="1" customHeight="1" outlineLevel="2" x14ac:dyDescent="0.3">
      <c r="A32" s="93" t="s">
        <v>132</v>
      </c>
      <c r="B32" s="18"/>
      <c r="C32" s="78"/>
      <c r="D32" s="78"/>
      <c r="E32" s="78"/>
      <c r="F32" s="78"/>
      <c r="G32" s="10"/>
      <c r="H32" s="10"/>
      <c r="I32" s="10"/>
      <c r="J32" s="10"/>
      <c r="K32" s="10"/>
      <c r="L32" s="10"/>
      <c r="M32" s="287"/>
      <c r="N32" s="10"/>
      <c r="O32" s="10"/>
      <c r="P32" s="10"/>
      <c r="Q32" s="10"/>
      <c r="R32" s="10"/>
      <c r="S32" s="10"/>
      <c r="T32" s="18"/>
      <c r="U32" s="10"/>
      <c r="V32" s="10"/>
      <c r="W32" s="10"/>
      <c r="X32" s="18"/>
      <c r="Y32" s="10"/>
      <c r="Z32" s="10"/>
      <c r="AA32" s="10"/>
      <c r="AB32" s="60"/>
      <c r="AC32" s="60"/>
      <c r="AD32" s="12"/>
    </row>
    <row r="33" spans="1:30" s="17" customFormat="1" ht="15.6" hidden="1" outlineLevel="1" collapsed="1" x14ac:dyDescent="0.3">
      <c r="A33" s="93" t="s">
        <v>100</v>
      </c>
      <c r="B33" s="21"/>
      <c r="C33" s="84"/>
      <c r="D33" s="84"/>
      <c r="E33" s="84"/>
      <c r="F33" s="83"/>
      <c r="G33" s="32"/>
      <c r="H33" s="32"/>
      <c r="I33" s="32"/>
      <c r="J33" s="32"/>
      <c r="K33" s="32"/>
      <c r="L33" s="20">
        <f ca="1">LOOKUP(1000,INDIRECT("L1:"&amp;CELL("address",INDIRECT("R[-1]C",FALSE))))+1</f>
        <v>4</v>
      </c>
      <c r="M33" s="301" t="s">
        <v>543</v>
      </c>
      <c r="N33" s="301"/>
      <c r="O33" s="5"/>
      <c r="P33" s="33"/>
      <c r="Q33" s="33"/>
      <c r="R33" s="33"/>
      <c r="S33" s="33"/>
      <c r="T33" s="167">
        <f>IF($S$6="Exclude", SUMIFS(S34:S40, J34:J40, "&lt;&gt;Yes", G34:G40, "&lt;&gt;Yes"), SUMIFS(S34:S40, J34:J40, "&lt;&gt;Yes"))</f>
        <v>22.5</v>
      </c>
      <c r="U33" s="33"/>
      <c r="V33" s="33"/>
      <c r="W33" s="33"/>
      <c r="X33" s="34"/>
      <c r="Y33" s="35"/>
      <c r="Z33" s="35"/>
      <c r="AA33" s="35"/>
      <c r="AB33" s="240"/>
      <c r="AC33" s="36"/>
      <c r="AD33" s="26" t="str">
        <f>IF(M33="", "Error: Task name cannot be empty.", "")</f>
        <v/>
      </c>
    </row>
    <row r="34" spans="1:30" s="15" customFormat="1" ht="1.5" hidden="1" customHeight="1" outlineLevel="2" x14ac:dyDescent="0.3">
      <c r="A34" s="93" t="s">
        <v>101</v>
      </c>
      <c r="B34" s="21"/>
      <c r="C34" s="84"/>
      <c r="D34" s="84"/>
      <c r="E34" s="84"/>
      <c r="F34" s="83"/>
      <c r="G34" s="32"/>
      <c r="H34" s="32"/>
      <c r="I34" s="32"/>
      <c r="J34" s="32"/>
      <c r="K34" s="32"/>
      <c r="L34" s="175">
        <f ca="1">L33</f>
        <v>4</v>
      </c>
      <c r="M34" s="176" t="s">
        <v>105</v>
      </c>
      <c r="N34" s="173"/>
      <c r="O34" s="174"/>
      <c r="P34" s="33"/>
      <c r="Q34" s="33"/>
      <c r="R34" s="33"/>
      <c r="S34" s="33"/>
      <c r="T34" s="167"/>
      <c r="U34" s="33"/>
      <c r="V34" s="33"/>
      <c r="W34" s="33"/>
      <c r="X34" s="34"/>
      <c r="Y34" s="35"/>
      <c r="Z34" s="35"/>
      <c r="AA34" s="35"/>
      <c r="AB34" s="36"/>
      <c r="AC34" s="36"/>
      <c r="AD34" s="26"/>
    </row>
    <row r="35" spans="1:30" ht="43.2" hidden="1" outlineLevel="2" x14ac:dyDescent="0.3">
      <c r="A35" s="93" t="s">
        <v>0</v>
      </c>
      <c r="B35" s="21"/>
      <c r="C35" s="85"/>
      <c r="D35" s="85"/>
      <c r="E35" s="85"/>
      <c r="F35" s="86"/>
      <c r="G35" s="22" t="s">
        <v>23</v>
      </c>
      <c r="H35" s="22" t="s">
        <v>23</v>
      </c>
      <c r="I35" s="23" t="s">
        <v>23</v>
      </c>
      <c r="J35" s="22" t="s">
        <v>23</v>
      </c>
      <c r="K35" s="38"/>
      <c r="L35" s="22"/>
      <c r="M35" s="286" t="str">
        <f ca="1">IFERROR(OFFSET(M35,-1,,1,1)+0.1,OFFSET(M35,-1,-1,1,1)&amp;".1")</f>
        <v>4.1</v>
      </c>
      <c r="N35" s="23" t="s">
        <v>555</v>
      </c>
      <c r="O35" s="23" t="s">
        <v>554</v>
      </c>
      <c r="P35" s="23"/>
      <c r="Q35" s="144">
        <v>2</v>
      </c>
      <c r="R35" s="137">
        <v>2</v>
      </c>
      <c r="S35" s="169">
        <f>CEILING((IF(J35="Yes", 0, IF(H35="-",AA35,AA35+AA35*VLOOKUP(H35,BUFFERS_BY_TYPE,2,FALSE)))) +
   (IF(J35="Yes", 0, IF(H35="-",AA35,AA35+AA35*VLOOKUP(H35,BUFFERS_BY_TYPE,2,FALSE))))*VLOOKUP($S$5, SALES_CALL_SCALE_ARRAY, 2,FALSE),0.25)</f>
        <v>4</v>
      </c>
      <c r="T35" s="170"/>
      <c r="U35" s="24">
        <v>0</v>
      </c>
      <c r="V35" s="24">
        <v>1</v>
      </c>
      <c r="W35" s="24">
        <v>0</v>
      </c>
      <c r="X35" s="168">
        <v>1</v>
      </c>
      <c r="Y35" s="169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4</v>
      </c>
      <c r="Z35" s="25"/>
      <c r="AA35" s="169">
        <f>Y35+Y35*VLOOKUP(I35,EXTRAS_ARRAY,2,FALSE)</f>
        <v>4</v>
      </c>
      <c r="AB35" s="23"/>
      <c r="AC35" s="37"/>
      <c r="AD35" s="26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43.2" hidden="1" outlineLevel="2" x14ac:dyDescent="0.3">
      <c r="A36" s="93" t="s">
        <v>0</v>
      </c>
      <c r="B36" s="21"/>
      <c r="C36" s="85"/>
      <c r="D36" s="85"/>
      <c r="E36" s="85"/>
      <c r="F36" s="86"/>
      <c r="G36" s="22" t="s">
        <v>23</v>
      </c>
      <c r="H36" s="22" t="s">
        <v>23</v>
      </c>
      <c r="I36" s="23" t="s">
        <v>23</v>
      </c>
      <c r="J36" s="22" t="s">
        <v>23</v>
      </c>
      <c r="K36" s="38"/>
      <c r="L36" s="22"/>
      <c r="M36" s="286">
        <f ca="1">IFERROR(OFFSET(M36,-1,,1,1)+0.1,OFFSET(M36,-1,-1,1,1)&amp;".1")</f>
        <v>4.1999999999999993</v>
      </c>
      <c r="N36" s="23" t="s">
        <v>556</v>
      </c>
      <c r="O36" s="23" t="s">
        <v>554</v>
      </c>
      <c r="P36" s="23"/>
      <c r="Q36" s="144">
        <v>50</v>
      </c>
      <c r="R36" s="137"/>
      <c r="S36" s="169">
        <f>CEILING((IF(J36="Yes", 0, IF(H36="-",AA36,AA36+AA36*VLOOKUP(H36,BUFFERS_BY_TYPE,2,FALSE)))) +
   (IF(J36="Yes", 0, IF(H36="-",AA36,AA36+AA36*VLOOKUP(H36,BUFFERS_BY_TYPE,2,FALSE))))*VLOOKUP($S$5, SALES_CALL_SCALE_ARRAY, 2,FALSE),0.25)</f>
        <v>9.5</v>
      </c>
      <c r="T36" s="170"/>
      <c r="U36" s="24">
        <v>0</v>
      </c>
      <c r="V36" s="24">
        <v>0</v>
      </c>
      <c r="W36" s="24">
        <v>1</v>
      </c>
      <c r="X36" s="168">
        <v>0.25</v>
      </c>
      <c r="Y36" s="169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9.5</v>
      </c>
      <c r="Z36" s="25"/>
      <c r="AA36" s="169">
        <f>Y36+Y36*VLOOKUP(I36,EXTRAS_ARRAY,2,FALSE)</f>
        <v>9.5</v>
      </c>
      <c r="AB36" s="23"/>
      <c r="AC36" s="37"/>
      <c r="AD36" s="26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43.2" hidden="1" outlineLevel="2" x14ac:dyDescent="0.3">
      <c r="A37" s="93" t="s">
        <v>0</v>
      </c>
      <c r="B37" s="21"/>
      <c r="C37" s="85"/>
      <c r="D37" s="85"/>
      <c r="E37" s="85"/>
      <c r="F37" s="86"/>
      <c r="G37" s="22" t="s">
        <v>23</v>
      </c>
      <c r="H37" s="22" t="s">
        <v>23</v>
      </c>
      <c r="I37" s="23" t="s">
        <v>23</v>
      </c>
      <c r="J37" s="22" t="s">
        <v>23</v>
      </c>
      <c r="K37" s="38"/>
      <c r="L37" s="22"/>
      <c r="M37" s="286">
        <f ca="1">IFERROR(OFFSET(M37,-1,,1,1)+0.1,OFFSET(M37,-1,-1,1,1)&amp;".1")</f>
        <v>4.2999999999999989</v>
      </c>
      <c r="N37" s="23" t="s">
        <v>557</v>
      </c>
      <c r="O37" s="23" t="s">
        <v>554</v>
      </c>
      <c r="P37" s="23"/>
      <c r="Q37" s="144">
        <v>2</v>
      </c>
      <c r="R37" s="137">
        <v>2</v>
      </c>
      <c r="S37" s="169">
        <f>CEILING((IF(J37="Yes", 0, IF(H37="-",AA37,AA37+AA37*VLOOKUP(H37,BUFFERS_BY_TYPE,2,FALSE)))) +
   (IF(J37="Yes", 0, IF(H37="-",AA37,AA37+AA37*VLOOKUP(H37,BUFFERS_BY_TYPE,2,FALSE))))*VLOOKUP($S$5, SALES_CALL_SCALE_ARRAY, 2,FALSE),0.25)</f>
        <v>4</v>
      </c>
      <c r="T37" s="170"/>
      <c r="U37" s="24">
        <v>0</v>
      </c>
      <c r="V37" s="24">
        <v>1</v>
      </c>
      <c r="W37" s="24">
        <v>0</v>
      </c>
      <c r="X37" s="168">
        <v>1</v>
      </c>
      <c r="Y37" s="169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4</v>
      </c>
      <c r="Z37" s="25"/>
      <c r="AA37" s="169">
        <f>Y37+Y37*VLOOKUP(I37,EXTRAS_ARRAY,2,FALSE)</f>
        <v>4</v>
      </c>
      <c r="AB37" s="23"/>
      <c r="AC37" s="37"/>
      <c r="AD37" s="26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43.2" hidden="1" outlineLevel="2" x14ac:dyDescent="0.3">
      <c r="A38" s="93" t="s">
        <v>0</v>
      </c>
      <c r="B38" s="21"/>
      <c r="C38" s="85"/>
      <c r="D38" s="85"/>
      <c r="E38" s="85"/>
      <c r="F38" s="86"/>
      <c r="G38" s="22" t="s">
        <v>23</v>
      </c>
      <c r="H38" s="22" t="s">
        <v>23</v>
      </c>
      <c r="I38" s="23" t="s">
        <v>23</v>
      </c>
      <c r="J38" s="22" t="s">
        <v>23</v>
      </c>
      <c r="K38" s="38"/>
      <c r="L38" s="22"/>
      <c r="M38" s="286">
        <f ca="1">IFERROR(OFFSET(M38,-1,,1,1)+0.1,OFFSET(M38,-1,-1,1,1)&amp;".1")</f>
        <v>4.3999999999999986</v>
      </c>
      <c r="N38" s="23" t="s">
        <v>558</v>
      </c>
      <c r="O38" s="23" t="s">
        <v>554</v>
      </c>
      <c r="P38" s="23"/>
      <c r="Q38" s="144">
        <v>30</v>
      </c>
      <c r="R38" s="137"/>
      <c r="S38" s="169">
        <f>CEILING((IF(J38="Yes", 0, IF(H38="-",AA38,AA38+AA38*VLOOKUP(H38,BUFFERS_BY_TYPE,2,FALSE)))) +
   (IF(J38="Yes", 0, IF(H38="-",AA38,AA38+AA38*VLOOKUP(H38,BUFFERS_BY_TYPE,2,FALSE))))*VLOOKUP($S$5, SALES_CALL_SCALE_ARRAY, 2,FALSE),0.25)</f>
        <v>3</v>
      </c>
      <c r="T38" s="170"/>
      <c r="U38" s="24">
        <v>0</v>
      </c>
      <c r="V38" s="24">
        <v>1</v>
      </c>
      <c r="W38" s="24">
        <v>0</v>
      </c>
      <c r="X38" s="168">
        <v>0.1</v>
      </c>
      <c r="Y38" s="169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3</v>
      </c>
      <c r="Z38" s="25"/>
      <c r="AA38" s="169">
        <f>Y38+Y38*VLOOKUP(I38,EXTRAS_ARRAY,2,FALSE)</f>
        <v>3</v>
      </c>
      <c r="AB38" s="23"/>
      <c r="AC38" s="37"/>
      <c r="AD38" s="26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43.2" hidden="1" outlineLevel="2" x14ac:dyDescent="0.3">
      <c r="A39" s="93" t="s">
        <v>0</v>
      </c>
      <c r="B39" s="21"/>
      <c r="C39" s="85"/>
      <c r="D39" s="85"/>
      <c r="E39" s="85"/>
      <c r="F39" s="86"/>
      <c r="G39" s="22" t="s">
        <v>23</v>
      </c>
      <c r="H39" s="22" t="s">
        <v>23</v>
      </c>
      <c r="I39" s="23" t="s">
        <v>23</v>
      </c>
      <c r="J39" s="22" t="s">
        <v>23</v>
      </c>
      <c r="K39" s="38"/>
      <c r="L39" s="22"/>
      <c r="M39" s="286">
        <f ca="1">IFERROR(OFFSET(M39,-1,,1,1)+0.1,OFFSET(M39,-1,-1,1,1)&amp;".1")</f>
        <v>4.4999999999999982</v>
      </c>
      <c r="N39" s="23" t="s">
        <v>559</v>
      </c>
      <c r="O39" s="23"/>
      <c r="P39" s="23"/>
      <c r="Q39" s="144">
        <v>2</v>
      </c>
      <c r="R39" s="137"/>
      <c r="S39" s="169">
        <f>CEILING((IF(J39="Yes", 0, IF(H39="-",AA39,AA39+AA39*VLOOKUP(H39,BUFFERS_BY_TYPE,2,FALSE)))) +
   (IF(J39="Yes", 0, IF(H39="-",AA39,AA39+AA39*VLOOKUP(H39,BUFFERS_BY_TYPE,2,FALSE))))*VLOOKUP($S$5, SALES_CALL_SCALE_ARRAY, 2,FALSE),0.25)</f>
        <v>2</v>
      </c>
      <c r="T39" s="170"/>
      <c r="U39" s="24">
        <v>0</v>
      </c>
      <c r="V39" s="24">
        <v>1</v>
      </c>
      <c r="W39" s="24">
        <v>0</v>
      </c>
      <c r="X39" s="168">
        <v>1</v>
      </c>
      <c r="Y39" s="169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2</v>
      </c>
      <c r="Z39" s="25"/>
      <c r="AA39" s="169">
        <f>Y39+Y39*VLOOKUP(I39,EXTRAS_ARRAY,2,FALSE)</f>
        <v>2</v>
      </c>
      <c r="AB39" s="23"/>
      <c r="AC39" s="37"/>
      <c r="AD39" s="26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11" customFormat="1" ht="7.5" hidden="1" customHeight="1" outlineLevel="2" x14ac:dyDescent="0.3">
      <c r="A40" s="93" t="s">
        <v>132</v>
      </c>
      <c r="B40" s="18"/>
      <c r="C40" s="78"/>
      <c r="D40" s="78"/>
      <c r="E40" s="78"/>
      <c r="F40" s="78"/>
      <c r="G40" s="10"/>
      <c r="H40" s="10"/>
      <c r="I40" s="10"/>
      <c r="J40" s="10"/>
      <c r="K40" s="10"/>
      <c r="L40" s="10"/>
      <c r="M40" s="287"/>
      <c r="N40" s="10"/>
      <c r="O40" s="10"/>
      <c r="P40" s="10"/>
      <c r="Q40" s="10"/>
      <c r="R40" s="10"/>
      <c r="S40" s="10"/>
      <c r="T40" s="18"/>
      <c r="U40" s="10"/>
      <c r="V40" s="10"/>
      <c r="W40" s="10"/>
      <c r="X40" s="18"/>
      <c r="Y40" s="10"/>
      <c r="Z40" s="10"/>
      <c r="AA40" s="10"/>
      <c r="AB40" s="60"/>
      <c r="AC40" s="60"/>
      <c r="AD40" s="12"/>
    </row>
    <row r="41" spans="1:30" s="17" customFormat="1" ht="15.6" hidden="1" outlineLevel="1" collapsed="1" x14ac:dyDescent="0.3">
      <c r="A41" s="93" t="s">
        <v>100</v>
      </c>
      <c r="B41" s="21"/>
      <c r="C41" s="84"/>
      <c r="D41" s="84"/>
      <c r="E41" s="84"/>
      <c r="F41" s="83"/>
      <c r="G41" s="32"/>
      <c r="H41" s="32"/>
      <c r="I41" s="32"/>
      <c r="J41" s="32"/>
      <c r="K41" s="32"/>
      <c r="L41" s="20">
        <f ca="1">LOOKUP(1000,INDIRECT("L1:"&amp;CELL("address",INDIRECT("R[-1]C",FALSE))))+1</f>
        <v>5</v>
      </c>
      <c r="M41" s="301" t="s">
        <v>544</v>
      </c>
      <c r="N41" s="301"/>
      <c r="O41" s="5"/>
      <c r="P41" s="33"/>
      <c r="Q41" s="33"/>
      <c r="R41" s="33"/>
      <c r="S41" s="33"/>
      <c r="T41" s="167">
        <f>IF($S$6="Exclude", SUMIFS(S42:S46, J42:J46, "&lt;&gt;Yes", G42:G46, "&lt;&gt;Yes"), SUMIFS(S42:S46, J42:J46, "&lt;&gt;Yes"))</f>
        <v>24</v>
      </c>
      <c r="U41" s="33"/>
      <c r="V41" s="33"/>
      <c r="W41" s="33"/>
      <c r="X41" s="34"/>
      <c r="Y41" s="35"/>
      <c r="Z41" s="35"/>
      <c r="AA41" s="35"/>
      <c r="AB41" s="240"/>
      <c r="AC41" s="36"/>
      <c r="AD41" s="26" t="str">
        <f>IF(M41="", "Error: Task name cannot be empty.", "")</f>
        <v/>
      </c>
    </row>
    <row r="42" spans="1:30" s="15" customFormat="1" ht="1.5" hidden="1" customHeight="1" outlineLevel="2" x14ac:dyDescent="0.3">
      <c r="A42" s="93" t="s">
        <v>101</v>
      </c>
      <c r="B42" s="21"/>
      <c r="C42" s="84"/>
      <c r="D42" s="84"/>
      <c r="E42" s="84"/>
      <c r="F42" s="83"/>
      <c r="G42" s="32"/>
      <c r="H42" s="32"/>
      <c r="I42" s="32"/>
      <c r="J42" s="32"/>
      <c r="K42" s="32"/>
      <c r="L42" s="175">
        <f ca="1">L41</f>
        <v>5</v>
      </c>
      <c r="M42" s="176" t="s">
        <v>105</v>
      </c>
      <c r="N42" s="173"/>
      <c r="O42" s="174"/>
      <c r="P42" s="33"/>
      <c r="Q42" s="33"/>
      <c r="R42" s="33"/>
      <c r="S42" s="33"/>
      <c r="T42" s="167"/>
      <c r="U42" s="33"/>
      <c r="V42" s="33"/>
      <c r="W42" s="33"/>
      <c r="X42" s="34"/>
      <c r="Y42" s="35"/>
      <c r="Z42" s="35"/>
      <c r="AA42" s="35"/>
      <c r="AB42" s="36"/>
      <c r="AC42" s="36"/>
      <c r="AD42" s="26"/>
    </row>
    <row r="43" spans="1:30" ht="115.2" hidden="1" outlineLevel="2" x14ac:dyDescent="0.3">
      <c r="A43" s="93" t="s">
        <v>0</v>
      </c>
      <c r="B43" s="21"/>
      <c r="C43" s="85"/>
      <c r="D43" s="85"/>
      <c r="E43" s="85"/>
      <c r="F43" s="86"/>
      <c r="G43" s="22" t="s">
        <v>23</v>
      </c>
      <c r="H43" s="22" t="s">
        <v>23</v>
      </c>
      <c r="I43" s="23" t="s">
        <v>23</v>
      </c>
      <c r="J43" s="22" t="s">
        <v>23</v>
      </c>
      <c r="K43" s="38"/>
      <c r="L43" s="22"/>
      <c r="M43" s="286" t="str">
        <f ca="1">IFERROR(OFFSET(M43,-1,,1,1)+0.1,OFFSET(M43,-1,-1,1,1)&amp;".1")</f>
        <v>5.1</v>
      </c>
      <c r="N43" s="23" t="s">
        <v>463</v>
      </c>
      <c r="O43" s="23" t="s">
        <v>531</v>
      </c>
      <c r="P43" s="23">
        <f>Total_FRs * R43</f>
        <v>210</v>
      </c>
      <c r="Q43" s="144">
        <f>Total_FRs</f>
        <v>30</v>
      </c>
      <c r="R43" s="137">
        <v>7</v>
      </c>
      <c r="S43" s="169">
        <f>CEILING((IF(J43="Yes", 0, IF(H43="-",AA43,AA43+AA43*VLOOKUP(H43,BUFFERS_BY_TYPE,2,FALSE)))) +
   (IF(J43="Yes", 0, IF(H43="-",AA43,AA43+AA43*VLOOKUP(H43,BUFFERS_BY_TYPE,2,FALSE))))*VLOOKUP($S$5, SALES_CALL_SCALE_ARRAY, 2,FALSE),0.25)</f>
        <v>21</v>
      </c>
      <c r="T43" s="170"/>
      <c r="U43" s="24">
        <v>0.1</v>
      </c>
      <c r="V43" s="24">
        <v>0.7</v>
      </c>
      <c r="W43" s="24">
        <v>0.2</v>
      </c>
      <c r="X43" s="168">
        <v>0.1</v>
      </c>
      <c r="Y43" s="169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21</v>
      </c>
      <c r="Z43" s="25"/>
      <c r="AA43" s="169">
        <f>Y43+Y43*VLOOKUP(I43,EXTRAS_ARRAY,2,FALSE)</f>
        <v>21</v>
      </c>
      <c r="AB43" s="23"/>
      <c r="AC43" s="37"/>
      <c r="AD43" s="26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2" hidden="1" outlineLevel="2" x14ac:dyDescent="0.3">
      <c r="A44" s="93" t="s">
        <v>0</v>
      </c>
      <c r="B44" s="21"/>
      <c r="C44" s="85"/>
      <c r="D44" s="85"/>
      <c r="E44" s="85"/>
      <c r="F44" s="86"/>
      <c r="G44" s="22" t="s">
        <v>23</v>
      </c>
      <c r="H44" s="22" t="s">
        <v>23</v>
      </c>
      <c r="I44" s="23" t="s">
        <v>23</v>
      </c>
      <c r="J44" s="22" t="s">
        <v>23</v>
      </c>
      <c r="K44" s="38"/>
      <c r="L44" s="22"/>
      <c r="M44" s="286">
        <f ca="1">IFERROR(OFFSET(M44,-1,,1,1)+0.1,OFFSET(M44,-1,-1,1,1)&amp;".1")</f>
        <v>5.1999999999999993</v>
      </c>
      <c r="N44" s="23" t="s">
        <v>464</v>
      </c>
      <c r="O44" s="23"/>
      <c r="P44" s="23"/>
      <c r="Q44" s="144">
        <v>1</v>
      </c>
      <c r="R44" s="137"/>
      <c r="S44" s="169">
        <f>CEILING((IF(J44="Yes", 0, IF(H44="-",AA44,AA44+AA44*VLOOKUP(H44,BUFFERS_BY_TYPE,2,FALSE)))) +
   (IF(J44="Yes", 0, IF(H44="-",AA44,AA44+AA44*VLOOKUP(H44,BUFFERS_BY_TYPE,2,FALSE))))*VLOOKUP($S$5, SALES_CALL_SCALE_ARRAY, 2,FALSE),0.25)</f>
        <v>2</v>
      </c>
      <c r="T44" s="170"/>
      <c r="U44" s="24">
        <v>0</v>
      </c>
      <c r="V44" s="24">
        <v>1</v>
      </c>
      <c r="W44" s="24">
        <v>0</v>
      </c>
      <c r="X44" s="168">
        <v>2</v>
      </c>
      <c r="Y44" s="169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2</v>
      </c>
      <c r="Z44" s="25"/>
      <c r="AA44" s="169">
        <f>Y44+Y44*VLOOKUP(I44,EXTRAS_ARRAY,2,FALSE)</f>
        <v>2</v>
      </c>
      <c r="AB44" s="23"/>
      <c r="AC44" s="37"/>
      <c r="AD44" s="26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43.2" hidden="1" outlineLevel="2" x14ac:dyDescent="0.3">
      <c r="A45" s="93" t="s">
        <v>0</v>
      </c>
      <c r="B45" s="21"/>
      <c r="C45" s="85"/>
      <c r="D45" s="85"/>
      <c r="E45" s="85"/>
      <c r="F45" s="86"/>
      <c r="G45" s="22" t="s">
        <v>23</v>
      </c>
      <c r="H45" s="22" t="s">
        <v>23</v>
      </c>
      <c r="I45" s="23" t="s">
        <v>23</v>
      </c>
      <c r="J45" s="22" t="s">
        <v>23</v>
      </c>
      <c r="K45" s="38"/>
      <c r="L45" s="22"/>
      <c r="M45" s="286">
        <f ca="1">IFERROR(OFFSET(M45,-1,,1,1)+0.1,OFFSET(M45,-1,-1,1,1)&amp;".1")</f>
        <v>5.2999999999999989</v>
      </c>
      <c r="N45" s="23" t="s">
        <v>465</v>
      </c>
      <c r="O45" s="23"/>
      <c r="P45" s="23"/>
      <c r="Q45" s="144">
        <v>1</v>
      </c>
      <c r="R45" s="137"/>
      <c r="S45" s="169">
        <f>CEILING((IF(J45="Yes", 0, IF(H45="-",AA45,AA45+AA45*VLOOKUP(H45,BUFFERS_BY_TYPE,2,FALSE)))) +
   (IF(J45="Yes", 0, IF(H45="-",AA45,AA45+AA45*VLOOKUP(H45,BUFFERS_BY_TYPE,2,FALSE))))*VLOOKUP($S$5, SALES_CALL_SCALE_ARRAY, 2,FALSE),0.25)</f>
        <v>1</v>
      </c>
      <c r="T45" s="170"/>
      <c r="U45" s="24">
        <v>0</v>
      </c>
      <c r="V45" s="24">
        <v>1</v>
      </c>
      <c r="W45" s="24">
        <v>0</v>
      </c>
      <c r="X45" s="168">
        <v>1</v>
      </c>
      <c r="Y45" s="169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1</v>
      </c>
      <c r="Z45" s="25"/>
      <c r="AA45" s="169">
        <f>Y45+Y45*VLOOKUP(I45,EXTRAS_ARRAY,2,FALSE)</f>
        <v>1</v>
      </c>
      <c r="AB45" s="23"/>
      <c r="AC45" s="37"/>
      <c r="AD45" s="26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11" customFormat="1" ht="7.5" hidden="1" customHeight="1" outlineLevel="2" x14ac:dyDescent="0.3">
      <c r="A46" s="93" t="s">
        <v>132</v>
      </c>
      <c r="B46" s="18"/>
      <c r="C46" s="78"/>
      <c r="D46" s="78"/>
      <c r="E46" s="78"/>
      <c r="F46" s="78"/>
      <c r="G46" s="10"/>
      <c r="H46" s="10"/>
      <c r="I46" s="10"/>
      <c r="J46" s="10"/>
      <c r="K46" s="10"/>
      <c r="L46" s="10"/>
      <c r="M46" s="287"/>
      <c r="N46" s="10"/>
      <c r="O46" s="10"/>
      <c r="P46" s="10"/>
      <c r="Q46" s="10"/>
      <c r="R46" s="10"/>
      <c r="S46" s="10"/>
      <c r="T46" s="18"/>
      <c r="U46" s="10"/>
      <c r="V46" s="10"/>
      <c r="W46" s="10"/>
      <c r="X46" s="18"/>
      <c r="Y46" s="10"/>
      <c r="Z46" s="10"/>
      <c r="AA46" s="10"/>
      <c r="AB46" s="60"/>
      <c r="AC46" s="60"/>
      <c r="AD46" s="12"/>
    </row>
    <row r="47" spans="1:30" s="17" customFormat="1" ht="15.6" hidden="1" outlineLevel="1" collapsed="1" x14ac:dyDescent="0.3">
      <c r="A47" s="93" t="s">
        <v>100</v>
      </c>
      <c r="B47" s="21"/>
      <c r="C47" s="84"/>
      <c r="D47" s="84"/>
      <c r="E47" s="84"/>
      <c r="F47" s="83"/>
      <c r="G47" s="32"/>
      <c r="H47" s="32"/>
      <c r="I47" s="32"/>
      <c r="J47" s="32"/>
      <c r="K47" s="32"/>
      <c r="L47" s="20">
        <f ca="1">LOOKUP(1000,INDIRECT("L1:"&amp;CELL("address",INDIRECT("R[-1]C",FALSE))))+1</f>
        <v>6</v>
      </c>
      <c r="M47" s="301" t="s">
        <v>545</v>
      </c>
      <c r="N47" s="301"/>
      <c r="O47" s="5"/>
      <c r="P47" s="33"/>
      <c r="Q47" s="33"/>
      <c r="R47" s="33"/>
      <c r="S47" s="33"/>
      <c r="T47" s="167">
        <f>IF($S$6="Exclude", SUMIFS(S48:S55, J48:J55, "&lt;&gt;Yes", G48:G55, "&lt;&gt;Yes"), SUMIFS(S48:S55, J48:J55, "&lt;&gt;Yes"))</f>
        <v>18.75</v>
      </c>
      <c r="U47" s="33"/>
      <c r="V47" s="33"/>
      <c r="W47" s="33"/>
      <c r="X47" s="34"/>
      <c r="Y47" s="35"/>
      <c r="Z47" s="35"/>
      <c r="AA47" s="35"/>
      <c r="AB47" s="240"/>
      <c r="AC47" s="36"/>
      <c r="AD47" s="26" t="str">
        <f>IF(M47="", "Error: Task name cannot be empty.", "")</f>
        <v/>
      </c>
    </row>
    <row r="48" spans="1:30" s="15" customFormat="1" ht="1.5" hidden="1" customHeight="1" outlineLevel="2" x14ac:dyDescent="0.3">
      <c r="A48" s="93" t="s">
        <v>101</v>
      </c>
      <c r="B48" s="21"/>
      <c r="C48" s="84"/>
      <c r="D48" s="84"/>
      <c r="E48" s="84"/>
      <c r="F48" s="83"/>
      <c r="G48" s="32"/>
      <c r="H48" s="32"/>
      <c r="I48" s="32"/>
      <c r="J48" s="32"/>
      <c r="K48" s="32"/>
      <c r="L48" s="175">
        <f ca="1">L47</f>
        <v>6</v>
      </c>
      <c r="M48" s="176" t="s">
        <v>105</v>
      </c>
      <c r="N48" s="173"/>
      <c r="O48" s="174"/>
      <c r="P48" s="33"/>
      <c r="Q48" s="33"/>
      <c r="R48" s="33"/>
      <c r="S48" s="33"/>
      <c r="T48" s="167"/>
      <c r="U48" s="33"/>
      <c r="V48" s="33"/>
      <c r="W48" s="33"/>
      <c r="X48" s="34"/>
      <c r="Y48" s="35"/>
      <c r="Z48" s="35"/>
      <c r="AA48" s="35"/>
      <c r="AB48" s="36"/>
      <c r="AC48" s="36"/>
      <c r="AD48" s="26"/>
    </row>
    <row r="49" spans="1:30" ht="43.2" hidden="1" outlineLevel="2" x14ac:dyDescent="0.3">
      <c r="A49" s="93" t="s">
        <v>0</v>
      </c>
      <c r="B49" s="21"/>
      <c r="C49" s="85"/>
      <c r="D49" s="85"/>
      <c r="E49" s="85"/>
      <c r="F49" s="86"/>
      <c r="G49" s="22" t="s">
        <v>6</v>
      </c>
      <c r="H49" s="22" t="s">
        <v>23</v>
      </c>
      <c r="I49" s="23" t="s">
        <v>23</v>
      </c>
      <c r="J49" s="22" t="s">
        <v>23</v>
      </c>
      <c r="K49" s="38"/>
      <c r="L49" s="22"/>
      <c r="M49" s="286" t="str">
        <f t="shared" ref="M49:M54" ca="1" si="0">IFERROR(OFFSET(M49,-1,,1,1)+0.1,OFFSET(M49,-1,-1,1,1)&amp;".1")</f>
        <v>6.1</v>
      </c>
      <c r="N49" s="23" t="s">
        <v>560</v>
      </c>
      <c r="O49" s="23"/>
      <c r="P49" s="23"/>
      <c r="Q49" s="144">
        <v>10</v>
      </c>
      <c r="R49" s="137"/>
      <c r="S49" s="169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2.5</v>
      </c>
      <c r="T49" s="170"/>
      <c r="U49" s="24">
        <v>0</v>
      </c>
      <c r="V49" s="24">
        <v>1</v>
      </c>
      <c r="W49" s="24">
        <v>0</v>
      </c>
      <c r="X49" s="168">
        <v>0.25</v>
      </c>
      <c r="Y49" s="169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2.5</v>
      </c>
      <c r="Z49" s="25"/>
      <c r="AA49" s="169">
        <f t="shared" ref="AA49:AA54" si="3">Y49+Y49*VLOOKUP(I49,EXTRAS_ARRAY,2,FALSE)</f>
        <v>2.5</v>
      </c>
      <c r="AB49" s="23"/>
      <c r="AC49" s="37"/>
      <c r="AD49" s="26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43.2" hidden="1" outlineLevel="2" x14ac:dyDescent="0.3">
      <c r="A50" s="93" t="s">
        <v>0</v>
      </c>
      <c r="B50" s="21"/>
      <c r="C50" s="85"/>
      <c r="D50" s="85"/>
      <c r="E50" s="85"/>
      <c r="F50" s="86"/>
      <c r="G50" s="22" t="s">
        <v>6</v>
      </c>
      <c r="H50" s="22" t="s">
        <v>23</v>
      </c>
      <c r="I50" s="23" t="s">
        <v>23</v>
      </c>
      <c r="J50" s="22" t="s">
        <v>23</v>
      </c>
      <c r="K50" s="38"/>
      <c r="L50" s="22"/>
      <c r="M50" s="286">
        <f t="shared" ca="1" si="0"/>
        <v>6.1999999999999993</v>
      </c>
      <c r="N50" s="23" t="s">
        <v>561</v>
      </c>
      <c r="O50" s="23"/>
      <c r="P50" s="23"/>
      <c r="Q50" s="144">
        <v>30</v>
      </c>
      <c r="R50" s="137"/>
      <c r="S50" s="169">
        <f t="shared" si="1"/>
        <v>4.5</v>
      </c>
      <c r="T50" s="170"/>
      <c r="U50" s="24">
        <v>0</v>
      </c>
      <c r="V50" s="24">
        <v>1</v>
      </c>
      <c r="W50" s="24">
        <v>0</v>
      </c>
      <c r="X50" s="168">
        <v>0.15</v>
      </c>
      <c r="Y50" s="169">
        <f t="shared" si="2"/>
        <v>4.5</v>
      </c>
      <c r="Z50" s="25"/>
      <c r="AA50" s="169">
        <f t="shared" si="3"/>
        <v>4.5</v>
      </c>
      <c r="AB50" s="23"/>
      <c r="AC50" s="37"/>
      <c r="AD50" s="26" t="str">
        <f t="shared" si="4"/>
        <v/>
      </c>
    </row>
    <row r="51" spans="1:30" ht="43.2" hidden="1" outlineLevel="2" x14ac:dyDescent="0.3">
      <c r="A51" s="93" t="s">
        <v>0</v>
      </c>
      <c r="B51" s="21"/>
      <c r="C51" s="85"/>
      <c r="D51" s="85"/>
      <c r="E51" s="85"/>
      <c r="F51" s="86"/>
      <c r="G51" s="22" t="s">
        <v>6</v>
      </c>
      <c r="H51" s="22" t="s">
        <v>23</v>
      </c>
      <c r="I51" s="23" t="s">
        <v>23</v>
      </c>
      <c r="J51" s="22" t="s">
        <v>23</v>
      </c>
      <c r="K51" s="38"/>
      <c r="L51" s="22"/>
      <c r="M51" s="286">
        <f t="shared" ca="1" si="0"/>
        <v>6.2999999999999989</v>
      </c>
      <c r="N51" s="23" t="s">
        <v>562</v>
      </c>
      <c r="O51" s="23"/>
      <c r="P51" s="23"/>
      <c r="Q51" s="144">
        <v>2</v>
      </c>
      <c r="R51" s="137"/>
      <c r="S51" s="169">
        <f t="shared" si="1"/>
        <v>2</v>
      </c>
      <c r="T51" s="170"/>
      <c r="U51" s="24">
        <v>0</v>
      </c>
      <c r="V51" s="24">
        <v>1</v>
      </c>
      <c r="W51" s="24">
        <v>0</v>
      </c>
      <c r="X51" s="168">
        <v>1</v>
      </c>
      <c r="Y51" s="169">
        <f t="shared" si="2"/>
        <v>2</v>
      </c>
      <c r="Z51" s="25"/>
      <c r="AA51" s="169">
        <f t="shared" si="3"/>
        <v>2</v>
      </c>
      <c r="AB51" s="23"/>
      <c r="AC51" s="37"/>
      <c r="AD51" s="26" t="str">
        <f t="shared" si="4"/>
        <v/>
      </c>
    </row>
    <row r="52" spans="1:30" ht="43.2" hidden="1" outlineLevel="2" x14ac:dyDescent="0.3">
      <c r="A52" s="93" t="s">
        <v>0</v>
      </c>
      <c r="B52" s="21"/>
      <c r="C52" s="85"/>
      <c r="D52" s="85"/>
      <c r="E52" s="85"/>
      <c r="F52" s="86"/>
      <c r="G52" s="22" t="s">
        <v>6</v>
      </c>
      <c r="H52" s="22" t="s">
        <v>23</v>
      </c>
      <c r="I52" s="23" t="s">
        <v>23</v>
      </c>
      <c r="J52" s="22" t="s">
        <v>23</v>
      </c>
      <c r="K52" s="38"/>
      <c r="L52" s="22"/>
      <c r="M52" s="286">
        <f t="shared" ca="1" si="0"/>
        <v>6.3999999999999986</v>
      </c>
      <c r="N52" s="23" t="s">
        <v>563</v>
      </c>
      <c r="O52" s="23"/>
      <c r="P52" s="23"/>
      <c r="Q52" s="144">
        <v>10</v>
      </c>
      <c r="R52" s="137"/>
      <c r="S52" s="169">
        <f t="shared" si="1"/>
        <v>2.5</v>
      </c>
      <c r="T52" s="170"/>
      <c r="U52" s="24">
        <v>0</v>
      </c>
      <c r="V52" s="24">
        <v>1</v>
      </c>
      <c r="W52" s="24">
        <v>0</v>
      </c>
      <c r="X52" s="168">
        <v>0.25</v>
      </c>
      <c r="Y52" s="169">
        <f t="shared" si="2"/>
        <v>2.5</v>
      </c>
      <c r="Z52" s="25"/>
      <c r="AA52" s="169">
        <f t="shared" si="3"/>
        <v>2.5</v>
      </c>
      <c r="AB52" s="23"/>
      <c r="AC52" s="37"/>
      <c r="AD52" s="26" t="str">
        <f t="shared" si="4"/>
        <v/>
      </c>
    </row>
    <row r="53" spans="1:30" ht="43.2" hidden="1" outlineLevel="2" x14ac:dyDescent="0.3">
      <c r="A53" s="93" t="s">
        <v>0</v>
      </c>
      <c r="B53" s="21"/>
      <c r="C53" s="85"/>
      <c r="D53" s="85"/>
      <c r="E53" s="85"/>
      <c r="F53" s="86"/>
      <c r="G53" s="22" t="s">
        <v>6</v>
      </c>
      <c r="H53" s="22" t="s">
        <v>23</v>
      </c>
      <c r="I53" s="23" t="s">
        <v>23</v>
      </c>
      <c r="J53" s="22" t="s">
        <v>23</v>
      </c>
      <c r="K53" s="38"/>
      <c r="L53" s="22"/>
      <c r="M53" s="286">
        <f t="shared" ca="1" si="0"/>
        <v>6.4999999999999982</v>
      </c>
      <c r="N53" s="23" t="s">
        <v>564</v>
      </c>
      <c r="O53" s="23"/>
      <c r="P53" s="23"/>
      <c r="Q53" s="144">
        <v>25</v>
      </c>
      <c r="R53" s="137"/>
      <c r="S53" s="169">
        <f t="shared" si="1"/>
        <v>6.25</v>
      </c>
      <c r="T53" s="170"/>
      <c r="U53" s="24">
        <v>0</v>
      </c>
      <c r="V53" s="24">
        <v>1</v>
      </c>
      <c r="W53" s="24">
        <v>0</v>
      </c>
      <c r="X53" s="168">
        <v>0.25</v>
      </c>
      <c r="Y53" s="169">
        <f t="shared" si="2"/>
        <v>6.25</v>
      </c>
      <c r="Z53" s="25"/>
      <c r="AA53" s="169">
        <f t="shared" si="3"/>
        <v>6.25</v>
      </c>
      <c r="AB53" s="23"/>
      <c r="AC53" s="37"/>
      <c r="AD53" s="26" t="str">
        <f t="shared" si="4"/>
        <v/>
      </c>
    </row>
    <row r="54" spans="1:30" ht="43.2" hidden="1" outlineLevel="2" x14ac:dyDescent="0.3">
      <c r="A54" s="93" t="s">
        <v>0</v>
      </c>
      <c r="B54" s="21"/>
      <c r="C54" s="85"/>
      <c r="D54" s="85"/>
      <c r="E54" s="85"/>
      <c r="F54" s="86"/>
      <c r="G54" s="22" t="s">
        <v>6</v>
      </c>
      <c r="H54" s="22" t="s">
        <v>23</v>
      </c>
      <c r="I54" s="23" t="s">
        <v>23</v>
      </c>
      <c r="J54" s="22" t="s">
        <v>23</v>
      </c>
      <c r="K54" s="38"/>
      <c r="L54" s="22"/>
      <c r="M54" s="286">
        <f t="shared" ca="1" si="0"/>
        <v>6.5999999999999979</v>
      </c>
      <c r="N54" s="23" t="s">
        <v>565</v>
      </c>
      <c r="O54" s="23"/>
      <c r="P54" s="23"/>
      <c r="Q54" s="144"/>
      <c r="R54" s="137">
        <v>1</v>
      </c>
      <c r="S54" s="169">
        <f t="shared" si="1"/>
        <v>1</v>
      </c>
      <c r="T54" s="170"/>
      <c r="U54" s="24">
        <v>0</v>
      </c>
      <c r="V54" s="24">
        <v>1</v>
      </c>
      <c r="W54" s="24">
        <v>0</v>
      </c>
      <c r="X54" s="168">
        <v>1</v>
      </c>
      <c r="Y54" s="169">
        <f t="shared" si="2"/>
        <v>1</v>
      </c>
      <c r="Z54" s="25"/>
      <c r="AA54" s="169">
        <f t="shared" si="3"/>
        <v>1</v>
      </c>
      <c r="AB54" s="23"/>
      <c r="AC54" s="37"/>
      <c r="AD54" s="26" t="str">
        <f t="shared" si="4"/>
        <v/>
      </c>
    </row>
    <row r="55" spans="1:30" s="11" customFormat="1" ht="7.5" hidden="1" customHeight="1" outlineLevel="2" x14ac:dyDescent="0.3">
      <c r="A55" s="93" t="s">
        <v>132</v>
      </c>
      <c r="B55" s="18"/>
      <c r="C55" s="78"/>
      <c r="D55" s="78"/>
      <c r="E55" s="78"/>
      <c r="F55" s="78"/>
      <c r="G55" s="10"/>
      <c r="H55" s="10"/>
      <c r="I55" s="10"/>
      <c r="J55" s="10"/>
      <c r="K55" s="10"/>
      <c r="L55" s="10"/>
      <c r="M55" s="287"/>
      <c r="N55" s="10"/>
      <c r="O55" s="10"/>
      <c r="P55" s="10"/>
      <c r="Q55" s="10"/>
      <c r="R55" s="10"/>
      <c r="S55" s="10"/>
      <c r="T55" s="18"/>
      <c r="U55" s="10"/>
      <c r="V55" s="10"/>
      <c r="W55" s="10"/>
      <c r="X55" s="18"/>
      <c r="Y55" s="10"/>
      <c r="Z55" s="10"/>
      <c r="AA55" s="10"/>
      <c r="AB55" s="60"/>
      <c r="AC55" s="60"/>
      <c r="AD55" s="12"/>
    </row>
    <row r="56" spans="1:30" s="17" customFormat="1" ht="15.6" hidden="1" outlineLevel="1" collapsed="1" x14ac:dyDescent="0.3">
      <c r="A56" s="93" t="s">
        <v>100</v>
      </c>
      <c r="B56" s="21"/>
      <c r="C56" s="84"/>
      <c r="D56" s="84"/>
      <c r="E56" s="84"/>
      <c r="F56" s="83"/>
      <c r="G56" s="32"/>
      <c r="H56" s="32"/>
      <c r="I56" s="32"/>
      <c r="J56" s="32"/>
      <c r="K56" s="32"/>
      <c r="L56" s="20">
        <f ca="1">LOOKUP(1000,INDIRECT("L1:"&amp;CELL("address",INDIRECT("R[-1]C",FALSE))))+1</f>
        <v>7</v>
      </c>
      <c r="M56" s="301" t="s">
        <v>546</v>
      </c>
      <c r="N56" s="301"/>
      <c r="O56" s="5"/>
      <c r="P56" s="33"/>
      <c r="Q56" s="33"/>
      <c r="R56" s="33"/>
      <c r="S56" s="33"/>
      <c r="T56" s="167">
        <f>IF($S$6="Exclude", SUMIFS(S57:S63, J57:J63, "&lt;&gt;Yes", G57:G63, "&lt;&gt;Yes"), SUMIFS(S57:S63, J57:J63, "&lt;&gt;Yes"))</f>
        <v>45.25</v>
      </c>
      <c r="U56" s="33"/>
      <c r="V56" s="33"/>
      <c r="W56" s="33"/>
      <c r="X56" s="34"/>
      <c r="Y56" s="35"/>
      <c r="Z56" s="35"/>
      <c r="AA56" s="35"/>
      <c r="AB56" s="240"/>
      <c r="AC56" s="36"/>
      <c r="AD56" s="26" t="str">
        <f>IF(M56="", "Error: Task name cannot be empty.", "")</f>
        <v/>
      </c>
    </row>
    <row r="57" spans="1:30" s="15" customFormat="1" ht="1.5" hidden="1" customHeight="1" outlineLevel="2" x14ac:dyDescent="0.3">
      <c r="A57" s="93" t="s">
        <v>101</v>
      </c>
      <c r="B57" s="21"/>
      <c r="C57" s="84"/>
      <c r="D57" s="84"/>
      <c r="E57" s="84"/>
      <c r="F57" s="83"/>
      <c r="G57" s="32"/>
      <c r="H57" s="32"/>
      <c r="I57" s="32"/>
      <c r="J57" s="32"/>
      <c r="K57" s="32"/>
      <c r="L57" s="175">
        <f ca="1">L56</f>
        <v>7</v>
      </c>
      <c r="M57" s="176" t="s">
        <v>105</v>
      </c>
      <c r="N57" s="173"/>
      <c r="O57" s="174"/>
      <c r="P57" s="33"/>
      <c r="Q57" s="33"/>
      <c r="R57" s="33"/>
      <c r="S57" s="33"/>
      <c r="T57" s="167"/>
      <c r="U57" s="33"/>
      <c r="V57" s="33"/>
      <c r="W57" s="33"/>
      <c r="X57" s="34"/>
      <c r="Y57" s="35"/>
      <c r="Z57" s="35"/>
      <c r="AA57" s="35"/>
      <c r="AB57" s="36"/>
      <c r="AC57" s="36"/>
      <c r="AD57" s="26"/>
    </row>
    <row r="58" spans="1:30" ht="28.8" hidden="1" outlineLevel="2" x14ac:dyDescent="0.3">
      <c r="A58" s="93" t="s">
        <v>0</v>
      </c>
      <c r="B58" s="21"/>
      <c r="C58" s="85"/>
      <c r="D58" s="85"/>
      <c r="E58" s="85"/>
      <c r="F58" s="86"/>
      <c r="G58" s="22" t="s">
        <v>23</v>
      </c>
      <c r="H58" s="22" t="s">
        <v>23</v>
      </c>
      <c r="I58" s="23" t="s">
        <v>23</v>
      </c>
      <c r="J58" s="22" t="s">
        <v>23</v>
      </c>
      <c r="K58" s="38"/>
      <c r="L58" s="22"/>
      <c r="M58" s="286" t="str">
        <f ca="1">IFERROR(OFFSET(M58,-1,,1,1)+0.1,OFFSET(M58,-1,-1,1,1)&amp;".1")</f>
        <v>7.1</v>
      </c>
      <c r="N58" s="23" t="s">
        <v>566</v>
      </c>
      <c r="O58" s="23" t="s">
        <v>125</v>
      </c>
      <c r="P58" s="23"/>
      <c r="Q58" s="144">
        <v>30</v>
      </c>
      <c r="R58" s="137">
        <v>4</v>
      </c>
      <c r="S58" s="169">
        <f>CEILING((IF(J58="Yes", 0, IF(H58="-",AA58,AA58+AA58*VLOOKUP(H58,BUFFERS_BY_TYPE,2,FALSE)))) +
   (IF(J58="Yes", 0, IF(H58="-",AA58,AA58+AA58*VLOOKUP(H58,BUFFERS_BY_TYPE,2,FALSE))))*VLOOKUP($S$5, SALES_CALL_SCALE_ARRAY, 2,FALSE),0.25)</f>
        <v>30</v>
      </c>
      <c r="T58" s="170"/>
      <c r="U58" s="24">
        <v>0</v>
      </c>
      <c r="V58" s="24">
        <v>1</v>
      </c>
      <c r="W58" s="24">
        <v>0</v>
      </c>
      <c r="X58" s="168">
        <v>0.25</v>
      </c>
      <c r="Y58" s="169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30</v>
      </c>
      <c r="Z58" s="25"/>
      <c r="AA58" s="169">
        <f>Y58+Y58*VLOOKUP(I58,EXTRAS_ARRAY,2,FALSE)</f>
        <v>30</v>
      </c>
      <c r="AB58" s="23" t="s">
        <v>596</v>
      </c>
      <c r="AC58" s="37"/>
      <c r="AD58" s="26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43.2" hidden="1" outlineLevel="2" x14ac:dyDescent="0.3">
      <c r="A59" s="93" t="s">
        <v>0</v>
      </c>
      <c r="B59" s="21"/>
      <c r="C59" s="85"/>
      <c r="D59" s="85"/>
      <c r="E59" s="85"/>
      <c r="F59" s="86"/>
      <c r="G59" s="22" t="s">
        <v>23</v>
      </c>
      <c r="H59" s="22" t="s">
        <v>23</v>
      </c>
      <c r="I59" s="23" t="s">
        <v>23</v>
      </c>
      <c r="J59" s="22" t="s">
        <v>23</v>
      </c>
      <c r="K59" s="38"/>
      <c r="L59" s="22"/>
      <c r="M59" s="286">
        <f ca="1">IFERROR(OFFSET(M59,-1,,1,1)+0.1,OFFSET(M59,-1,-1,1,1)&amp;".1")</f>
        <v>7.1999999999999993</v>
      </c>
      <c r="N59" s="23" t="s">
        <v>567</v>
      </c>
      <c r="O59" s="23" t="s">
        <v>125</v>
      </c>
      <c r="P59" s="23"/>
      <c r="Q59" s="144">
        <v>30</v>
      </c>
      <c r="R59" s="137"/>
      <c r="S59" s="169">
        <f>CEILING((IF(J59="Yes", 0, IF(H59="-",AA59,AA59+AA59*VLOOKUP(H59,BUFFERS_BY_TYPE,2,FALSE)))) +
   (IF(J59="Yes", 0, IF(H59="-",AA59,AA59+AA59*VLOOKUP(H59,BUFFERS_BY_TYPE,2,FALSE))))*VLOOKUP($S$5, SALES_CALL_SCALE_ARRAY, 2,FALSE),0.25)</f>
        <v>3</v>
      </c>
      <c r="T59" s="170"/>
      <c r="U59" s="24">
        <v>0</v>
      </c>
      <c r="V59" s="24">
        <v>1</v>
      </c>
      <c r="W59" s="24">
        <v>0</v>
      </c>
      <c r="X59" s="168">
        <v>0.1</v>
      </c>
      <c r="Y59" s="169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3</v>
      </c>
      <c r="Z59" s="25"/>
      <c r="AA59" s="169">
        <f>Y59+Y59*VLOOKUP(I59,EXTRAS_ARRAY,2,FALSE)</f>
        <v>3</v>
      </c>
      <c r="AB59" s="23"/>
      <c r="AC59" s="37"/>
      <c r="AD59" s="26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43.2" hidden="1" outlineLevel="2" x14ac:dyDescent="0.3">
      <c r="A60" s="93" t="s">
        <v>0</v>
      </c>
      <c r="B60" s="21"/>
      <c r="C60" s="85"/>
      <c r="D60" s="85"/>
      <c r="E60" s="85"/>
      <c r="F60" s="86"/>
      <c r="G60" s="22" t="s">
        <v>23</v>
      </c>
      <c r="H60" s="22" t="s">
        <v>23</v>
      </c>
      <c r="I60" s="23" t="s">
        <v>23</v>
      </c>
      <c r="J60" s="22" t="s">
        <v>23</v>
      </c>
      <c r="K60" s="38"/>
      <c r="L60" s="22"/>
      <c r="M60" s="286">
        <f ca="1">IFERROR(OFFSET(M60,-1,,1,1)+0.1,OFFSET(M60,-1,-1,1,1)&amp;".1")</f>
        <v>7.2999999999999989</v>
      </c>
      <c r="N60" s="23" t="s">
        <v>568</v>
      </c>
      <c r="O60" s="23" t="s">
        <v>570</v>
      </c>
      <c r="P60" s="23"/>
      <c r="Q60" s="144">
        <v>30</v>
      </c>
      <c r="R60" s="137"/>
      <c r="S60" s="169">
        <f>CEILING((IF(J60="Yes", 0, IF(H60="-",AA60,AA60+AA60*VLOOKUP(H60,BUFFERS_BY_TYPE,2,FALSE)))) +
   (IF(J60="Yes", 0, IF(H60="-",AA60,AA60+AA60*VLOOKUP(H60,BUFFERS_BY_TYPE,2,FALSE))))*VLOOKUP($S$5, SALES_CALL_SCALE_ARRAY, 2,FALSE),0.25)</f>
        <v>3</v>
      </c>
      <c r="T60" s="170"/>
      <c r="U60" s="24">
        <v>0</v>
      </c>
      <c r="V60" s="24">
        <v>1</v>
      </c>
      <c r="W60" s="24">
        <v>0</v>
      </c>
      <c r="X60" s="168">
        <v>0.1</v>
      </c>
      <c r="Y60" s="169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3</v>
      </c>
      <c r="Z60" s="25"/>
      <c r="AA60" s="169">
        <f>Y60+Y60*VLOOKUP(I60,EXTRAS_ARRAY,2,FALSE)</f>
        <v>3</v>
      </c>
      <c r="AB60" s="23"/>
      <c r="AC60" s="37"/>
      <c r="AD60" s="26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2" hidden="1" outlineLevel="2" x14ac:dyDescent="0.3">
      <c r="A61" s="93" t="s">
        <v>0</v>
      </c>
      <c r="B61" s="21"/>
      <c r="C61" s="85"/>
      <c r="D61" s="85"/>
      <c r="E61" s="85"/>
      <c r="F61" s="86"/>
      <c r="G61" s="22" t="s">
        <v>6</v>
      </c>
      <c r="H61" s="22" t="s">
        <v>23</v>
      </c>
      <c r="I61" s="23" t="s">
        <v>23</v>
      </c>
      <c r="J61" s="22" t="s">
        <v>23</v>
      </c>
      <c r="K61" s="38"/>
      <c r="L61" s="22"/>
      <c r="M61" s="286">
        <f ca="1">IFERROR(OFFSET(M61,-1,,1,1)+0.1,OFFSET(M61,-1,-1,1,1)&amp;".1")</f>
        <v>7.3999999999999986</v>
      </c>
      <c r="N61" s="23" t="s">
        <v>587</v>
      </c>
      <c r="O61" s="23" t="s">
        <v>589</v>
      </c>
      <c r="P61" s="274">
        <v>0.02</v>
      </c>
      <c r="Q61" s="144">
        <v>6</v>
      </c>
      <c r="R61" s="137"/>
      <c r="S61" s="169">
        <f>CEILING((IF(J61="Yes", 0, IF(H61="-",AA61,AA61+AA61*VLOOKUP(H61,BUFFERS_BY_TYPE,2,FALSE)))) +
   (IF(J61="Yes", 0, IF(H61="-",AA61,AA61+AA61*VLOOKUP(H61,BUFFERS_BY_TYPE,2,FALSE))))*VLOOKUP($S$5, SALES_CALL_SCALE_ARRAY, 2,FALSE),0.25)</f>
        <v>6</v>
      </c>
      <c r="T61" s="170"/>
      <c r="U61" s="24">
        <v>0</v>
      </c>
      <c r="V61" s="24">
        <v>1</v>
      </c>
      <c r="W61" s="24">
        <v>0</v>
      </c>
      <c r="X61" s="168">
        <v>1</v>
      </c>
      <c r="Y61" s="169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6</v>
      </c>
      <c r="Z61" s="25"/>
      <c r="AA61" s="169">
        <f>Y61+Y61*VLOOKUP(I61,EXTRAS_ARRAY,2,FALSE)</f>
        <v>6</v>
      </c>
      <c r="AB61" s="23" t="s">
        <v>590</v>
      </c>
      <c r="AC61" s="37"/>
      <c r="AD61" s="26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ht="43.2" hidden="1" outlineLevel="2" x14ac:dyDescent="0.3">
      <c r="A62" s="93" t="s">
        <v>0</v>
      </c>
      <c r="B62" s="21"/>
      <c r="C62" s="85"/>
      <c r="D62" s="85"/>
      <c r="E62" s="85"/>
      <c r="F62" s="86"/>
      <c r="G62" s="22" t="s">
        <v>23</v>
      </c>
      <c r="H62" s="22" t="s">
        <v>23</v>
      </c>
      <c r="I62" s="23" t="s">
        <v>23</v>
      </c>
      <c r="J62" s="22" t="s">
        <v>23</v>
      </c>
      <c r="K62" s="38"/>
      <c r="L62" s="22"/>
      <c r="M62" s="286">
        <f ca="1">IFERROR(OFFSET(M62,-1,,1,1)+0.1,OFFSET(M62,-1,-1,1,1)&amp;".1")</f>
        <v>7.4999999999999982</v>
      </c>
      <c r="N62" s="23" t="s">
        <v>569</v>
      </c>
      <c r="O62" s="23" t="s">
        <v>532</v>
      </c>
      <c r="P62" s="23"/>
      <c r="Q62" s="144">
        <v>30</v>
      </c>
      <c r="R62" s="137"/>
      <c r="S62" s="169">
        <f>CEILING((IF(J62="Yes", 0, IF(H62="-",AA62,AA62+AA62*VLOOKUP(H62,BUFFERS_BY_TYPE,2,FALSE)))) +
   (IF(J62="Yes", 0, IF(H62="-",AA62,AA62+AA62*VLOOKUP(H62,BUFFERS_BY_TYPE,2,FALSE))))*VLOOKUP($S$5, SALES_CALL_SCALE_ARRAY, 2,FALSE),0.25)</f>
        <v>3.25</v>
      </c>
      <c r="T62" s="170"/>
      <c r="U62" s="24">
        <v>0.2</v>
      </c>
      <c r="V62" s="24">
        <v>0.6</v>
      </c>
      <c r="W62" s="24">
        <v>0.2</v>
      </c>
      <c r="X62" s="168">
        <v>0.1</v>
      </c>
      <c r="Y62" s="169">
        <f>CEILING((IF(P62=AS_DEV_EFFORT, DEV_EFFORT*Q62%,
                           IF(P62=AS_DURATION_EFFORT, (MANUAL_DURATION*5)*Q62%,
                                    (IF(Q62&lt;=1,X62,
                                          IF(SUM(U62:W62)=0,(Q62*X62),
                                               (((Q62*U62)*(X62+(X62*EXTRA_FOR_H)))+
                                               ((Q62*V62)*X62)+
                                               ((Q62*W62)*(X62-(X62*LESS_FOR_L)))
                                    )*IF(R62=0,1,R62))))))+Z62), 0.25)</f>
        <v>3.25</v>
      </c>
      <c r="Z62" s="25"/>
      <c r="AA62" s="169">
        <f>Y62+Y62*VLOOKUP(I62,EXTRAS_ARRAY,2,FALSE)</f>
        <v>3.25</v>
      </c>
      <c r="AB62" s="23"/>
      <c r="AC62" s="37"/>
      <c r="AD62" s="26" t="str">
        <f>IF(J62&lt;&gt;"Yes",
IF(S62&lt;=0,"Error: Effort value is not defined or is invalid.",
IF(AND(SUM(U62:W62)&gt;0,SUM(U62:W62)&lt;&gt;1),"Error: Complexity % distribution should sum to 100%.",
IF(AND(P62=AS_DEV_EFFORT,X62&lt;&gt;0),"Error: PDs should not be defined when defining as dev effort %.",
IF(AND(P62=AS_DURATION_EFFORT,X62&lt;&gt;0),"Error: PDs should not be defined when defining as duration effort %.","")))))</f>
        <v/>
      </c>
    </row>
    <row r="63" spans="1:30" s="11" customFormat="1" ht="7.5" hidden="1" customHeight="1" outlineLevel="2" x14ac:dyDescent="0.3">
      <c r="A63" s="93" t="s">
        <v>132</v>
      </c>
      <c r="B63" s="18"/>
      <c r="C63" s="78"/>
      <c r="D63" s="78"/>
      <c r="E63" s="78"/>
      <c r="F63" s="78"/>
      <c r="G63" s="10"/>
      <c r="H63" s="10"/>
      <c r="I63" s="10"/>
      <c r="J63" s="10"/>
      <c r="K63" s="10"/>
      <c r="L63" s="10"/>
      <c r="M63" s="287"/>
      <c r="N63" s="10"/>
      <c r="O63" s="10"/>
      <c r="P63" s="10"/>
      <c r="Q63" s="10"/>
      <c r="R63" s="10"/>
      <c r="S63" s="10"/>
      <c r="T63" s="18"/>
      <c r="U63" s="10"/>
      <c r="V63" s="10"/>
      <c r="W63" s="10"/>
      <c r="X63" s="18"/>
      <c r="Y63" s="10"/>
      <c r="Z63" s="10"/>
      <c r="AA63" s="10"/>
      <c r="AB63" s="60"/>
      <c r="AC63" s="60"/>
      <c r="AD63" s="12"/>
    </row>
    <row r="64" spans="1:30" s="11" customFormat="1" ht="3" hidden="1" customHeight="1" outlineLevel="1" x14ac:dyDescent="0.3">
      <c r="A64" s="93" t="s">
        <v>102</v>
      </c>
      <c r="B64" s="10"/>
      <c r="C64" s="78"/>
      <c r="D64" s="78"/>
      <c r="E64" s="78"/>
      <c r="F64" s="78"/>
      <c r="G64" s="59"/>
      <c r="H64" s="59"/>
      <c r="I64" s="59"/>
      <c r="J64" s="59"/>
      <c r="K64" s="59"/>
      <c r="L64" s="61"/>
      <c r="M64" s="288"/>
      <c r="N64" s="62"/>
      <c r="O64" s="62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2"/>
      <c r="AC64" s="62"/>
      <c r="AD64" s="12"/>
    </row>
    <row r="65" spans="1:30" s="17" customFormat="1" ht="18" collapsed="1" x14ac:dyDescent="0.3">
      <c r="A65" s="93" t="s">
        <v>98</v>
      </c>
      <c r="B65" s="14"/>
      <c r="C65" s="79"/>
      <c r="D65" s="79"/>
      <c r="E65" s="79"/>
      <c r="F65" s="78"/>
      <c r="G65" s="55"/>
      <c r="H65" s="55"/>
      <c r="I65" s="55"/>
      <c r="J65" s="55"/>
      <c r="K65" s="55"/>
      <c r="L65" s="55" t="s">
        <v>68</v>
      </c>
      <c r="M65" s="284" t="s">
        <v>72</v>
      </c>
      <c r="N65" s="56"/>
      <c r="O65" s="57"/>
      <c r="P65" s="58"/>
      <c r="Q65" s="58"/>
      <c r="R65" s="58"/>
      <c r="S65" s="302">
        <f>CEILING(SUMIF(J66:J95, "&lt;&gt;Yes", T66:T95),1)</f>
        <v>203</v>
      </c>
      <c r="T65" s="302"/>
      <c r="U65" s="58"/>
      <c r="V65" s="58"/>
      <c r="W65" s="58"/>
      <c r="X65" s="58"/>
      <c r="Y65" s="58"/>
      <c r="Z65" s="58"/>
      <c r="AA65" s="58"/>
      <c r="AB65" s="58"/>
      <c r="AC65" s="58"/>
      <c r="AD65" s="16"/>
    </row>
    <row r="66" spans="1:30" s="11" customFormat="1" ht="3" hidden="1" customHeight="1" outlineLevel="1" x14ac:dyDescent="0.3">
      <c r="A66" s="93" t="s">
        <v>99</v>
      </c>
      <c r="B66" s="18"/>
      <c r="C66" s="78"/>
      <c r="D66" s="78"/>
      <c r="E66" s="78"/>
      <c r="F66" s="78"/>
      <c r="G66" s="28"/>
      <c r="H66" s="28"/>
      <c r="I66" s="28"/>
      <c r="J66" s="28"/>
      <c r="K66" s="28"/>
      <c r="L66" s="29">
        <v>0</v>
      </c>
      <c r="M66" s="285"/>
      <c r="N66" s="28"/>
      <c r="O66" s="28"/>
      <c r="P66" s="28"/>
      <c r="Q66" s="28"/>
      <c r="R66" s="28"/>
      <c r="S66" s="28"/>
      <c r="T66" s="30"/>
      <c r="U66" s="28"/>
      <c r="V66" s="28"/>
      <c r="W66" s="28"/>
      <c r="X66" s="30"/>
      <c r="Y66" s="28"/>
      <c r="Z66" s="28"/>
      <c r="AA66" s="28"/>
      <c r="AB66" s="31"/>
      <c r="AC66" s="31"/>
      <c r="AD66" s="12"/>
    </row>
    <row r="67" spans="1:30" s="17" customFormat="1" ht="15.6" hidden="1" outlineLevel="1" x14ac:dyDescent="0.3">
      <c r="A67" s="93" t="s">
        <v>100</v>
      </c>
      <c r="B67" s="21"/>
      <c r="C67" s="84"/>
      <c r="D67" s="84"/>
      <c r="E67" s="84"/>
      <c r="F67" s="83"/>
      <c r="G67" s="32"/>
      <c r="H67" s="32"/>
      <c r="I67" s="32"/>
      <c r="J67" s="32"/>
      <c r="K67" s="32"/>
      <c r="L67" s="20">
        <f ca="1">LOOKUP(1000,INDIRECT("L1:"&amp;CELL("address",INDIRECT("R[-1]C",FALSE))))+1</f>
        <v>1</v>
      </c>
      <c r="M67" s="301" t="s">
        <v>458</v>
      </c>
      <c r="N67" s="301"/>
      <c r="O67" s="5"/>
      <c r="P67" s="33"/>
      <c r="Q67" s="33"/>
      <c r="R67" s="33"/>
      <c r="S67" s="33"/>
      <c r="T67" s="167">
        <f>IF($S$6="Exclude", SUMIFS(S68:S71, J68:J71, "&lt;&gt;Yes", G68:G71, "&lt;&gt;Yes"), SUMIFS(S68:S71, J68:J71, "&lt;&gt;Yes"))</f>
        <v>27.5</v>
      </c>
      <c r="U67" s="33"/>
      <c r="V67" s="33"/>
      <c r="W67" s="33"/>
      <c r="X67" s="34"/>
      <c r="Y67" s="35"/>
      <c r="Z67" s="35"/>
      <c r="AA67" s="35"/>
      <c r="AB67" s="240"/>
      <c r="AC67" s="36"/>
      <c r="AD67" s="26" t="str">
        <f>IF(M67="", "Error: Task name cannot be empty.", "")</f>
        <v/>
      </c>
    </row>
    <row r="68" spans="1:30" s="15" customFormat="1" ht="1.5" hidden="1" customHeight="1" outlineLevel="2" x14ac:dyDescent="0.3">
      <c r="A68" s="93" t="s">
        <v>101</v>
      </c>
      <c r="B68" s="21"/>
      <c r="C68" s="84"/>
      <c r="D68" s="84"/>
      <c r="E68" s="84"/>
      <c r="F68" s="83"/>
      <c r="G68" s="32"/>
      <c r="H68" s="32"/>
      <c r="I68" s="32"/>
      <c r="J68" s="32"/>
      <c r="K68" s="32"/>
      <c r="L68" s="175">
        <f ca="1">L67</f>
        <v>1</v>
      </c>
      <c r="M68" s="176" t="s">
        <v>105</v>
      </c>
      <c r="N68" s="173"/>
      <c r="O68" s="174"/>
      <c r="P68" s="33"/>
      <c r="Q68" s="33"/>
      <c r="R68" s="33"/>
      <c r="S68" s="33"/>
      <c r="T68" s="167"/>
      <c r="U68" s="33"/>
      <c r="V68" s="33"/>
      <c r="W68" s="33"/>
      <c r="X68" s="34"/>
      <c r="Y68" s="35"/>
      <c r="Z68" s="35"/>
      <c r="AA68" s="35"/>
      <c r="AB68" s="36"/>
      <c r="AC68" s="36"/>
      <c r="AD68" s="26"/>
    </row>
    <row r="69" spans="1:30" ht="15.6" hidden="1" outlineLevel="2" x14ac:dyDescent="0.3">
      <c r="A69" s="93" t="s">
        <v>0</v>
      </c>
      <c r="B69" s="21"/>
      <c r="C69" s="85"/>
      <c r="D69" s="85"/>
      <c r="E69" s="85"/>
      <c r="F69" s="86"/>
      <c r="G69" s="22" t="s">
        <v>23</v>
      </c>
      <c r="H69" s="22" t="s">
        <v>23</v>
      </c>
      <c r="I69" s="23" t="s">
        <v>23</v>
      </c>
      <c r="J69" s="22" t="s">
        <v>23</v>
      </c>
      <c r="K69" s="38"/>
      <c r="L69" s="22"/>
      <c r="M69" s="286" t="str">
        <f ca="1">IFERROR(OFFSET(M69,-1,,1,1)+0.1,OFFSET(M69,-1,-1,1,1)&amp;".1")</f>
        <v>1.1</v>
      </c>
      <c r="N69" s="23" t="s">
        <v>469</v>
      </c>
      <c r="O69" s="23"/>
      <c r="P69" s="23"/>
      <c r="Q69" s="144">
        <v>10</v>
      </c>
      <c r="R69" s="137"/>
      <c r="S69" s="169">
        <f>CEILING((IF(J69="Yes", 0, IF(H69="-",AA69,AA69+AA69*VLOOKUP(H69,BUFFERS_BY_TYPE,2,FALSE)))) +
   (IF(J69="Yes", 0, IF(H69="-",AA69,AA69+AA69*VLOOKUP(H69,BUFFERS_BY_TYPE,2,FALSE))))*VLOOKUP($S$5, SALES_CALL_SCALE_ARRAY, 2,FALSE),0.25)</f>
        <v>11</v>
      </c>
      <c r="T69" s="170"/>
      <c r="U69" s="24">
        <v>0.3</v>
      </c>
      <c r="V69" s="24">
        <v>0.5</v>
      </c>
      <c r="W69" s="24">
        <v>0.2</v>
      </c>
      <c r="X69" s="168">
        <v>1</v>
      </c>
      <c r="Y69" s="169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11</v>
      </c>
      <c r="Z69" s="25"/>
      <c r="AA69" s="169">
        <f>Y69+Y69*VLOOKUP(I69,EXTRAS_ARRAY,2,FALSE)</f>
        <v>11</v>
      </c>
      <c r="AB69" s="23"/>
      <c r="AC69" s="37"/>
      <c r="AD69" s="26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ht="15.6" hidden="1" outlineLevel="2" x14ac:dyDescent="0.3">
      <c r="A70" s="93" t="s">
        <v>0</v>
      </c>
      <c r="B70" s="21"/>
      <c r="C70" s="85"/>
      <c r="D70" s="85"/>
      <c r="E70" s="85"/>
      <c r="F70" s="86"/>
      <c r="G70" s="22" t="s">
        <v>23</v>
      </c>
      <c r="H70" s="22" t="s">
        <v>23</v>
      </c>
      <c r="I70" s="23" t="s">
        <v>23</v>
      </c>
      <c r="J70" s="22" t="s">
        <v>23</v>
      </c>
      <c r="K70" s="38"/>
      <c r="L70" s="22"/>
      <c r="M70" s="286">
        <f ca="1">IFERROR(OFFSET(M70,-1,,1,1)+0.1,OFFSET(M70,-1,-1,1,1)&amp;".1")</f>
        <v>1.2000000000000002</v>
      </c>
      <c r="N70" s="23" t="s">
        <v>470</v>
      </c>
      <c r="O70" s="23"/>
      <c r="P70" s="23" t="s">
        <v>471</v>
      </c>
      <c r="Q70" s="144">
        <v>60</v>
      </c>
      <c r="R70" s="137"/>
      <c r="S70" s="169">
        <f>CEILING((IF(J70="Yes", 0, IF(H70="-",AA70,AA70+AA70*VLOOKUP(H70,BUFFERS_BY_TYPE,2,FALSE)))) +
   (IF(J70="Yes", 0, IF(H70="-",AA70,AA70+AA70*VLOOKUP(H70,BUFFERS_BY_TYPE,2,FALSE))))*VLOOKUP($S$5, SALES_CALL_SCALE_ARRAY, 2,FALSE),0.25)</f>
        <v>16.5</v>
      </c>
      <c r="T70" s="170"/>
      <c r="U70" s="24">
        <v>0.3</v>
      </c>
      <c r="V70" s="24">
        <v>0.5</v>
      </c>
      <c r="W70" s="24">
        <v>0.2</v>
      </c>
      <c r="X70" s="168">
        <v>0.25</v>
      </c>
      <c r="Y70" s="169">
        <f>CEILING((IF(P70=AS_DEV_EFFORT, DEV_EFFORT*Q70%,
                           IF(P70=AS_DURATION_EFFORT, (MANUAL_DURATION*5)*Q70%,
                                    (IF(Q70&lt;=1,X70,
                                          IF(SUM(U70:W70)=0,(Q70*X70),
                                               (((Q70*U70)*(X70+(X70*EXTRA_FOR_H)))+
                                               ((Q70*V70)*X70)+
                                               ((Q70*W70)*(X70-(X70*LESS_FOR_L)))
                                    )*IF(R70=0,1,R70))))))+Z70), 0.25)</f>
        <v>16.5</v>
      </c>
      <c r="Z70" s="25"/>
      <c r="AA70" s="169">
        <f>Y70+Y70*VLOOKUP(I70,EXTRAS_ARRAY,2,FALSE)</f>
        <v>16.5</v>
      </c>
      <c r="AB70" s="23"/>
      <c r="AC70" s="37"/>
      <c r="AD70" s="26" t="str">
        <f>IF(J70&lt;&gt;"Yes",
IF(S70&lt;=0,"Error: Effort value is not defined or is invalid.",
IF(AND(SUM(U70:W70)&gt;0,SUM(U70:W70)&lt;&gt;1),"Error: Complexity % distribution should sum to 100%.",
IF(AND(P70=AS_DEV_EFFORT,X70&lt;&gt;0),"Error: PDs should not be defined when defining as dev effort %.",
IF(AND(P70=AS_DURATION_EFFORT,X70&lt;&gt;0),"Error: PDs should not be defined when defining as duration effort %.","")))))</f>
        <v/>
      </c>
    </row>
    <row r="71" spans="1:30" s="11" customFormat="1" ht="7.5" hidden="1" customHeight="1" outlineLevel="2" x14ac:dyDescent="0.3">
      <c r="A71" s="93" t="s">
        <v>132</v>
      </c>
      <c r="B71" s="18"/>
      <c r="C71" s="78"/>
      <c r="D71" s="78"/>
      <c r="E71" s="78"/>
      <c r="F71" s="78"/>
      <c r="G71" s="10"/>
      <c r="H71" s="10"/>
      <c r="I71" s="10"/>
      <c r="J71" s="10"/>
      <c r="K71" s="10"/>
      <c r="L71" s="10"/>
      <c r="M71" s="287"/>
      <c r="N71" s="10"/>
      <c r="O71" s="10"/>
      <c r="P71" s="10"/>
      <c r="Q71" s="10"/>
      <c r="R71" s="10"/>
      <c r="S71" s="10"/>
      <c r="T71" s="18"/>
      <c r="U71" s="10"/>
      <c r="V71" s="10"/>
      <c r="W71" s="10"/>
      <c r="X71" s="18"/>
      <c r="Y71" s="10"/>
      <c r="Z71" s="10"/>
      <c r="AA71" s="10"/>
      <c r="AB71" s="60"/>
      <c r="AC71" s="60"/>
      <c r="AD71" s="12"/>
    </row>
    <row r="72" spans="1:30" s="17" customFormat="1" ht="15.6" hidden="1" outlineLevel="1" x14ac:dyDescent="0.3">
      <c r="A72" s="93" t="s">
        <v>100</v>
      </c>
      <c r="B72" s="21"/>
      <c r="C72" s="84"/>
      <c r="D72" s="84"/>
      <c r="E72" s="84"/>
      <c r="F72" s="83"/>
      <c r="G72" s="32"/>
      <c r="H72" s="32"/>
      <c r="I72" s="32"/>
      <c r="J72" s="32"/>
      <c r="K72" s="32"/>
      <c r="L72" s="20">
        <f ca="1">LOOKUP(1000,INDIRECT("L1:"&amp;CELL("address",INDIRECT("R[-1]C",FALSE))))+1</f>
        <v>2</v>
      </c>
      <c r="M72" s="301" t="s">
        <v>466</v>
      </c>
      <c r="N72" s="301"/>
      <c r="O72" s="5"/>
      <c r="P72" s="33"/>
      <c r="Q72" s="33"/>
      <c r="R72" s="33"/>
      <c r="S72" s="33"/>
      <c r="T72" s="167">
        <f>IF($S$6="Exclude", SUMIFS(S73:S77, J73:J77, "&lt;&gt;Yes", G73:G77, "&lt;&gt;Yes"), SUMIFS(S73:S77, J73:J77, "&lt;&gt;Yes"))</f>
        <v>27.5</v>
      </c>
      <c r="U72" s="33"/>
      <c r="V72" s="33"/>
      <c r="W72" s="33"/>
      <c r="X72" s="34"/>
      <c r="Y72" s="35"/>
      <c r="Z72" s="35"/>
      <c r="AA72" s="35"/>
      <c r="AB72" s="240"/>
      <c r="AC72" s="36"/>
      <c r="AD72" s="26" t="str">
        <f>IF(M72="", "Error: Task name cannot be empty.", "")</f>
        <v/>
      </c>
    </row>
    <row r="73" spans="1:30" s="15" customFormat="1" ht="1.5" hidden="1" customHeight="1" outlineLevel="2" x14ac:dyDescent="0.3">
      <c r="A73" s="93" t="s">
        <v>101</v>
      </c>
      <c r="B73" s="21"/>
      <c r="C73" s="84"/>
      <c r="D73" s="84"/>
      <c r="E73" s="84"/>
      <c r="F73" s="83"/>
      <c r="G73" s="32"/>
      <c r="H73" s="32"/>
      <c r="I73" s="32"/>
      <c r="J73" s="32"/>
      <c r="K73" s="32"/>
      <c r="L73" s="175">
        <f ca="1">L72</f>
        <v>2</v>
      </c>
      <c r="M73" s="176" t="s">
        <v>105</v>
      </c>
      <c r="N73" s="173"/>
      <c r="O73" s="174"/>
      <c r="P73" s="33"/>
      <c r="Q73" s="33"/>
      <c r="R73" s="33"/>
      <c r="S73" s="33"/>
      <c r="T73" s="167"/>
      <c r="U73" s="33"/>
      <c r="V73" s="33"/>
      <c r="W73" s="33"/>
      <c r="X73" s="34"/>
      <c r="Y73" s="35"/>
      <c r="Z73" s="35"/>
      <c r="AA73" s="35"/>
      <c r="AB73" s="36"/>
      <c r="AC73" s="36"/>
      <c r="AD73" s="26"/>
    </row>
    <row r="74" spans="1:30" ht="15.6" hidden="1" outlineLevel="2" x14ac:dyDescent="0.3">
      <c r="A74" s="93" t="s">
        <v>0</v>
      </c>
      <c r="B74" s="21"/>
      <c r="C74" s="85"/>
      <c r="D74" s="85"/>
      <c r="E74" s="85"/>
      <c r="F74" s="86"/>
      <c r="G74" s="22" t="s">
        <v>23</v>
      </c>
      <c r="H74" s="22" t="s">
        <v>23</v>
      </c>
      <c r="I74" s="23" t="s">
        <v>23</v>
      </c>
      <c r="J74" s="22" t="s">
        <v>23</v>
      </c>
      <c r="K74" s="38"/>
      <c r="L74" s="22"/>
      <c r="M74" s="286" t="str">
        <f ca="1">IFERROR(OFFSET(M74,-1,,1,1)+0.1,OFFSET(M74,-1,-1,1,1)&amp;".1")</f>
        <v>2.1</v>
      </c>
      <c r="N74" s="23" t="s">
        <v>597</v>
      </c>
      <c r="O74" s="23"/>
      <c r="P74" s="23"/>
      <c r="Q74" s="144">
        <v>4</v>
      </c>
      <c r="R74" s="137"/>
      <c r="S74" s="169">
        <f>CEILING((IF(J74="Yes", 0, IF(H74="-",AA74,AA74+AA74*VLOOKUP(H74,BUFFERS_BY_TYPE,2,FALSE)))) +
   (IF(J74="Yes", 0, IF(H74="-",AA74,AA74+AA74*VLOOKUP(H74,BUFFERS_BY_TYPE,2,FALSE))))*VLOOKUP($S$5, SALES_CALL_SCALE_ARRAY, 2,FALSE),0.25)</f>
        <v>10</v>
      </c>
      <c r="T74" s="170"/>
      <c r="U74" s="24">
        <v>0</v>
      </c>
      <c r="V74" s="24">
        <v>1</v>
      </c>
      <c r="W74" s="24">
        <v>0</v>
      </c>
      <c r="X74" s="168">
        <v>2.5</v>
      </c>
      <c r="Y74" s="169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>10</v>
      </c>
      <c r="Z74" s="25"/>
      <c r="AA74" s="169">
        <f>Y74+Y74*VLOOKUP(I74,EXTRAS_ARRAY,2,FALSE)</f>
        <v>10</v>
      </c>
      <c r="AB74" s="23"/>
      <c r="AC74" s="37"/>
      <c r="AD74" s="26" t="str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/>
      </c>
    </row>
    <row r="75" spans="1:30" ht="15.6" hidden="1" outlineLevel="2" x14ac:dyDescent="0.3">
      <c r="A75" s="93" t="s">
        <v>0</v>
      </c>
      <c r="B75" s="21"/>
      <c r="C75" s="85"/>
      <c r="D75" s="85"/>
      <c r="E75" s="85"/>
      <c r="F75" s="86"/>
      <c r="G75" s="22" t="s">
        <v>23</v>
      </c>
      <c r="H75" s="22" t="s">
        <v>23</v>
      </c>
      <c r="I75" s="23" t="s">
        <v>23</v>
      </c>
      <c r="J75" s="22" t="s">
        <v>23</v>
      </c>
      <c r="K75" s="38"/>
      <c r="L75" s="22"/>
      <c r="M75" s="286">
        <f ca="1">IFERROR(OFFSET(M75,-1,,1,1)+0.1,OFFSET(M75,-1,-1,1,1)&amp;".1")</f>
        <v>2.2000000000000002</v>
      </c>
      <c r="N75" s="23" t="s">
        <v>598</v>
      </c>
      <c r="O75" s="23"/>
      <c r="P75" s="23"/>
      <c r="Q75" s="144">
        <v>4</v>
      </c>
      <c r="R75" s="137"/>
      <c r="S75" s="169">
        <f>CEILING((IF(J75="Yes", 0, IF(H75="-",AA75,AA75+AA75*VLOOKUP(H75,BUFFERS_BY_TYPE,2,FALSE)))) +
   (IF(J75="Yes", 0, IF(H75="-",AA75,AA75+AA75*VLOOKUP(H75,BUFFERS_BY_TYPE,2,FALSE))))*VLOOKUP($S$5, SALES_CALL_SCALE_ARRAY, 2,FALSE),0.25)</f>
        <v>10</v>
      </c>
      <c r="T75" s="170"/>
      <c r="U75" s="24">
        <v>0</v>
      </c>
      <c r="V75" s="24">
        <v>1</v>
      </c>
      <c r="W75" s="24">
        <v>0</v>
      </c>
      <c r="X75" s="168">
        <v>2.5</v>
      </c>
      <c r="Y75" s="169">
        <f>CEILING((IF(P75=AS_DEV_EFFORT, DEV_EFFORT*Q75%,
                           IF(P75=AS_DURATION_EFFORT, (MANUAL_DURATION*5)*Q75%,
                                    (IF(Q75&lt;=1,X75,
                                          IF(SUM(U75:W75)=0,(Q75*X75),
                                               (((Q75*U75)*(X75+(X75*EXTRA_FOR_H)))+
                                               ((Q75*V75)*X75)+
                                               ((Q75*W75)*(X75-(X75*LESS_FOR_L)))
                                    )*IF(R75=0,1,R75))))))+Z75), 0.25)</f>
        <v>10</v>
      </c>
      <c r="Z75" s="25"/>
      <c r="AA75" s="169">
        <f>Y75+Y75*VLOOKUP(I75,EXTRAS_ARRAY,2,FALSE)</f>
        <v>10</v>
      </c>
      <c r="AB75" s="23"/>
      <c r="AC75" s="37"/>
      <c r="AD75" s="26" t="str">
        <f>IF(J75&lt;&gt;"Yes",
IF(S75&lt;=0,"Error: Effort value is not defined or is invalid.",
IF(AND(SUM(U75:W75)&gt;0,SUM(U75:W75)&lt;&gt;1),"Error: Complexity % distribution should sum to 100%.",
IF(AND(P75=AS_DEV_EFFORT,X75&lt;&gt;0),"Error: PDs should not be defined when defining as dev effort %.",
IF(AND(P75=AS_DURATION_EFFORT,X75&lt;&gt;0),"Error: PDs should not be defined when defining as duration effort %.","")))))</f>
        <v/>
      </c>
    </row>
    <row r="76" spans="1:30" ht="15.6" hidden="1" outlineLevel="2" x14ac:dyDescent="0.3">
      <c r="A76" s="93" t="s">
        <v>0</v>
      </c>
      <c r="B76" s="21"/>
      <c r="C76" s="85"/>
      <c r="D76" s="85"/>
      <c r="E76" s="85"/>
      <c r="F76" s="86"/>
      <c r="G76" s="22" t="s">
        <v>23</v>
      </c>
      <c r="H76" s="22" t="s">
        <v>23</v>
      </c>
      <c r="I76" s="23" t="s">
        <v>23</v>
      </c>
      <c r="J76" s="22" t="s">
        <v>23</v>
      </c>
      <c r="K76" s="38"/>
      <c r="L76" s="22"/>
      <c r="M76" s="286">
        <f ca="1">IFERROR(OFFSET(M76,-1,,1,1)+0.1,OFFSET(M76,-1,-1,1,1)&amp;".1")</f>
        <v>2.3000000000000003</v>
      </c>
      <c r="N76" s="23" t="s">
        <v>599</v>
      </c>
      <c r="O76" s="23"/>
      <c r="P76" s="23"/>
      <c r="Q76" s="144">
        <v>3</v>
      </c>
      <c r="R76" s="137"/>
      <c r="S76" s="169">
        <f>CEILING((IF(J76="Yes", 0, IF(H76="-",AA76,AA76+AA76*VLOOKUP(H76,BUFFERS_BY_TYPE,2,FALSE)))) +
   (IF(J76="Yes", 0, IF(H76="-",AA76,AA76+AA76*VLOOKUP(H76,BUFFERS_BY_TYPE,2,FALSE))))*VLOOKUP($S$5, SALES_CALL_SCALE_ARRAY, 2,FALSE),0.25)</f>
        <v>7.5</v>
      </c>
      <c r="T76" s="170"/>
      <c r="U76" s="24">
        <v>0</v>
      </c>
      <c r="V76" s="24">
        <v>1</v>
      </c>
      <c r="W76" s="24">
        <v>0</v>
      </c>
      <c r="X76" s="168">
        <v>2.5</v>
      </c>
      <c r="Y76" s="169">
        <f>CEILING((IF(P76=AS_DEV_EFFORT, DEV_EFFORT*Q76%,
                           IF(P76=AS_DURATION_EFFORT, (MANUAL_DURATION*5)*Q76%,
                                    (IF(Q76&lt;=1,X76,
                                          IF(SUM(U76:W76)=0,(Q76*X76),
                                               (((Q76*U76)*(X76+(X76*EXTRA_FOR_H)))+
                                               ((Q76*V76)*X76)+
                                               ((Q76*W76)*(X76-(X76*LESS_FOR_L)))
                                    )*IF(R76=0,1,R76))))))+Z76), 0.25)</f>
        <v>7.5</v>
      </c>
      <c r="Z76" s="25"/>
      <c r="AA76" s="169">
        <f>Y76+Y76*VLOOKUP(I76,EXTRAS_ARRAY,2,FALSE)</f>
        <v>7.5</v>
      </c>
      <c r="AB76" s="23"/>
      <c r="AC76" s="37"/>
      <c r="AD76" s="26" t="str">
        <f>IF(J76&lt;&gt;"Yes",
IF(S76&lt;=0,"Error: Effort value is not defined or is invalid.",
IF(AND(SUM(U76:W76)&gt;0,SUM(U76:W76)&lt;&gt;1),"Error: Complexity % distribution should sum to 100%.",
IF(AND(P76=AS_DEV_EFFORT,X76&lt;&gt;0),"Error: PDs should not be defined when defining as dev effort %.",
IF(AND(P76=AS_DURATION_EFFORT,X76&lt;&gt;0),"Error: PDs should not be defined when defining as duration effort %.","")))))</f>
        <v/>
      </c>
    </row>
    <row r="77" spans="1:30" s="11" customFormat="1" ht="7.5" hidden="1" customHeight="1" outlineLevel="2" x14ac:dyDescent="0.3">
      <c r="A77" s="93" t="s">
        <v>132</v>
      </c>
      <c r="B77" s="18"/>
      <c r="C77" s="78"/>
      <c r="D77" s="78"/>
      <c r="E77" s="78"/>
      <c r="F77" s="78"/>
      <c r="G77" s="10"/>
      <c r="H77" s="10"/>
      <c r="I77" s="10"/>
      <c r="J77" s="10"/>
      <c r="K77" s="10"/>
      <c r="L77" s="10"/>
      <c r="M77" s="287"/>
      <c r="N77" s="10"/>
      <c r="O77" s="10"/>
      <c r="P77" s="10"/>
      <c r="Q77" s="10"/>
      <c r="R77" s="10"/>
      <c r="S77" s="10"/>
      <c r="T77" s="18"/>
      <c r="U77" s="10"/>
      <c r="V77" s="10"/>
      <c r="W77" s="10"/>
      <c r="X77" s="18"/>
      <c r="Y77" s="10"/>
      <c r="Z77" s="10"/>
      <c r="AA77" s="10"/>
      <c r="AB77" s="60"/>
      <c r="AC77" s="60"/>
      <c r="AD77" s="12"/>
    </row>
    <row r="78" spans="1:30" s="17" customFormat="1" ht="15.6" hidden="1" outlineLevel="1" x14ac:dyDescent="0.3">
      <c r="A78" s="93" t="s">
        <v>100</v>
      </c>
      <c r="B78" s="21"/>
      <c r="C78" s="84"/>
      <c r="D78" s="84"/>
      <c r="E78" s="84"/>
      <c r="F78" s="83"/>
      <c r="G78" s="32"/>
      <c r="H78" s="32"/>
      <c r="I78" s="32"/>
      <c r="J78" s="32"/>
      <c r="K78" s="32"/>
      <c r="L78" s="20">
        <f ca="1">LOOKUP(1000,INDIRECT("L1:"&amp;CELL("address",INDIRECT("R[-1]C",FALSE))))+1</f>
        <v>3</v>
      </c>
      <c r="M78" s="301" t="s">
        <v>476</v>
      </c>
      <c r="N78" s="301"/>
      <c r="O78" s="5"/>
      <c r="P78" s="33"/>
      <c r="Q78" s="33"/>
      <c r="R78" s="33"/>
      <c r="S78" s="33"/>
      <c r="T78" s="167">
        <f>IF($S$6="Exclude", SUMIFS(S79:S84, J79:J84, "&lt;&gt;Yes", G79:G84, "&lt;&gt;Yes"), SUMIFS(S79:S84, J79:J84, "&lt;&gt;Yes"))</f>
        <v>21</v>
      </c>
      <c r="U78" s="33"/>
      <c r="V78" s="33"/>
      <c r="W78" s="33"/>
      <c r="X78" s="34"/>
      <c r="Y78" s="35"/>
      <c r="Z78" s="35"/>
      <c r="AA78" s="35"/>
      <c r="AB78" s="240"/>
      <c r="AC78" s="36"/>
      <c r="AD78" s="26" t="str">
        <f>IF(M78="", "Error: Task name cannot be empty.", "")</f>
        <v/>
      </c>
    </row>
    <row r="79" spans="1:30" s="15" customFormat="1" ht="1.5" hidden="1" customHeight="1" outlineLevel="2" x14ac:dyDescent="0.3">
      <c r="A79" s="93" t="s">
        <v>101</v>
      </c>
      <c r="B79" s="21"/>
      <c r="C79" s="84"/>
      <c r="D79" s="84"/>
      <c r="E79" s="84"/>
      <c r="F79" s="83"/>
      <c r="G79" s="32"/>
      <c r="H79" s="32"/>
      <c r="I79" s="32"/>
      <c r="J79" s="32"/>
      <c r="K79" s="32"/>
      <c r="L79" s="175">
        <f ca="1">L78</f>
        <v>3</v>
      </c>
      <c r="M79" s="176" t="s">
        <v>105</v>
      </c>
      <c r="N79" s="173"/>
      <c r="O79" s="174"/>
      <c r="P79" s="33"/>
      <c r="Q79" s="33"/>
      <c r="R79" s="33"/>
      <c r="S79" s="33"/>
      <c r="T79" s="167"/>
      <c r="U79" s="33"/>
      <c r="V79" s="33"/>
      <c r="W79" s="33"/>
      <c r="X79" s="34"/>
      <c r="Y79" s="35"/>
      <c r="Z79" s="35"/>
      <c r="AA79" s="35"/>
      <c r="AB79" s="36"/>
      <c r="AC79" s="36"/>
      <c r="AD79" s="26"/>
    </row>
    <row r="80" spans="1:30" ht="43.2" hidden="1" outlineLevel="2" x14ac:dyDescent="0.3">
      <c r="A80" s="93" t="s">
        <v>0</v>
      </c>
      <c r="B80" s="21"/>
      <c r="C80" s="85"/>
      <c r="D80" s="85"/>
      <c r="E80" s="85"/>
      <c r="F80" s="86"/>
      <c r="G80" s="22" t="s">
        <v>23</v>
      </c>
      <c r="H80" s="22" t="s">
        <v>23</v>
      </c>
      <c r="I80" s="23" t="s">
        <v>23</v>
      </c>
      <c r="J80" s="22" t="s">
        <v>23</v>
      </c>
      <c r="K80" s="38"/>
      <c r="L80" s="22"/>
      <c r="M80" s="286" t="str">
        <f ca="1">IFERROR(OFFSET(M80,-1,,1,1)+0.1,OFFSET(M80,-1,-1,1,1)&amp;".1")</f>
        <v>3.1</v>
      </c>
      <c r="N80" s="23" t="s">
        <v>472</v>
      </c>
      <c r="O80" s="23"/>
      <c r="P80" s="23"/>
      <c r="Q80" s="144">
        <v>5</v>
      </c>
      <c r="R80" s="137"/>
      <c r="S80" s="169">
        <f>CEILING((IF(J80="Yes", 0, IF(H80="-",AA80,AA80+AA80*VLOOKUP(H80,BUFFERS_BY_TYPE,2,FALSE)))) +
   (IF(J80="Yes", 0, IF(H80="-",AA80,AA80+AA80*VLOOKUP(H80,BUFFERS_BY_TYPE,2,FALSE))))*VLOOKUP($S$5, SALES_CALL_SCALE_ARRAY, 2,FALSE),0.25)</f>
        <v>5</v>
      </c>
      <c r="T80" s="170"/>
      <c r="U80" s="24">
        <v>0</v>
      </c>
      <c r="V80" s="24">
        <v>1</v>
      </c>
      <c r="W80" s="24">
        <v>0</v>
      </c>
      <c r="X80" s="168">
        <v>1</v>
      </c>
      <c r="Y80" s="169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5</v>
      </c>
      <c r="Z80" s="25"/>
      <c r="AA80" s="169">
        <f>Y80+Y80*VLOOKUP(I80,EXTRAS_ARRAY,2,FALSE)</f>
        <v>5</v>
      </c>
      <c r="AB80" s="23"/>
      <c r="AC80" s="37"/>
      <c r="AD80" s="26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ht="43.2" hidden="1" outlineLevel="2" x14ac:dyDescent="0.3">
      <c r="A81" s="93" t="s">
        <v>0</v>
      </c>
      <c r="B81" s="21"/>
      <c r="C81" s="85"/>
      <c r="D81" s="85"/>
      <c r="E81" s="85"/>
      <c r="F81" s="86"/>
      <c r="G81" s="22" t="s">
        <v>23</v>
      </c>
      <c r="H81" s="22" t="s">
        <v>23</v>
      </c>
      <c r="I81" s="23" t="s">
        <v>23</v>
      </c>
      <c r="J81" s="22" t="s">
        <v>23</v>
      </c>
      <c r="K81" s="38"/>
      <c r="L81" s="22"/>
      <c r="M81" s="286">
        <f ca="1">IFERROR(OFFSET(M81,-1,,1,1)+0.1,OFFSET(M81,-1,-1,1,1)&amp;".1")</f>
        <v>3.2</v>
      </c>
      <c r="N81" s="23" t="s">
        <v>473</v>
      </c>
      <c r="O81" s="23"/>
      <c r="P81" s="23"/>
      <c r="Q81" s="144">
        <v>5</v>
      </c>
      <c r="R81" s="137"/>
      <c r="S81" s="169">
        <f>CEILING((IF(J81="Yes", 0, IF(H81="-",AA81,AA81+AA81*VLOOKUP(H81,BUFFERS_BY_TYPE,2,FALSE)))) +
   (IF(J81="Yes", 0, IF(H81="-",AA81,AA81+AA81*VLOOKUP(H81,BUFFERS_BY_TYPE,2,FALSE))))*VLOOKUP($S$5, SALES_CALL_SCALE_ARRAY, 2,FALSE),0.25)</f>
        <v>5</v>
      </c>
      <c r="T81" s="170"/>
      <c r="U81" s="24">
        <v>0</v>
      </c>
      <c r="V81" s="24">
        <v>1</v>
      </c>
      <c r="W81" s="24">
        <v>0</v>
      </c>
      <c r="X81" s="168">
        <v>1</v>
      </c>
      <c r="Y81" s="169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5</v>
      </c>
      <c r="Z81" s="25"/>
      <c r="AA81" s="169">
        <f>Y81+Y81*VLOOKUP(I81,EXTRAS_ARRAY,2,FALSE)</f>
        <v>5</v>
      </c>
      <c r="AB81" s="23"/>
      <c r="AC81" s="37"/>
      <c r="AD81" s="26" t="str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spans="1:30" ht="43.2" hidden="1" outlineLevel="2" x14ac:dyDescent="0.3">
      <c r="A82" s="93" t="s">
        <v>0</v>
      </c>
      <c r="B82" s="21"/>
      <c r="C82" s="85"/>
      <c r="D82" s="85"/>
      <c r="E82" s="85"/>
      <c r="F82" s="86"/>
      <c r="G82" s="22" t="s">
        <v>23</v>
      </c>
      <c r="H82" s="22" t="s">
        <v>23</v>
      </c>
      <c r="I82" s="23" t="s">
        <v>23</v>
      </c>
      <c r="J82" s="22" t="s">
        <v>23</v>
      </c>
      <c r="K82" s="38"/>
      <c r="L82" s="22"/>
      <c r="M82" s="286">
        <f ca="1">IFERROR(OFFSET(M82,-1,,1,1)+0.1,OFFSET(M82,-1,-1,1,1)&amp;".1")</f>
        <v>3.3000000000000003</v>
      </c>
      <c r="N82" s="23" t="s">
        <v>474</v>
      </c>
      <c r="O82" s="23"/>
      <c r="P82" s="23" t="s">
        <v>471</v>
      </c>
      <c r="Q82" s="144">
        <v>50</v>
      </c>
      <c r="R82" s="137"/>
      <c r="S82" s="169">
        <f>CEILING((IF(J82="Yes", 0, IF(H82="-",AA82,AA82+AA82*VLOOKUP(H82,BUFFERS_BY_TYPE,2,FALSE)))) +
   (IF(J82="Yes", 0, IF(H82="-",AA82,AA82+AA82*VLOOKUP(H82,BUFFERS_BY_TYPE,2,FALSE))))*VLOOKUP($S$5, SALES_CALL_SCALE_ARRAY, 2,FALSE),0.25)</f>
        <v>10</v>
      </c>
      <c r="T82" s="170"/>
      <c r="U82" s="24">
        <v>0</v>
      </c>
      <c r="V82" s="24">
        <v>1</v>
      </c>
      <c r="W82" s="24">
        <v>0</v>
      </c>
      <c r="X82" s="168">
        <v>0.2</v>
      </c>
      <c r="Y82" s="169">
        <f>CEILING((IF(P82=AS_DEV_EFFORT, DEV_EFFORT*Q82%,
                           IF(P82=AS_DURATION_EFFORT, (MANUAL_DURATION*5)*Q82%,
                                    (IF(Q82&lt;=1,X82,
                                          IF(SUM(U82:W82)=0,(Q82*X82),
                                               (((Q82*U82)*(X82+(X82*EXTRA_FOR_H)))+
                                               ((Q82*V82)*X82)+
                                               ((Q82*W82)*(X82-(X82*LESS_FOR_L)))
                                    )*IF(R82=0,1,R82))))))+Z82), 0.25)</f>
        <v>10</v>
      </c>
      <c r="Z82" s="25"/>
      <c r="AA82" s="169">
        <f>Y82+Y82*VLOOKUP(I82,EXTRAS_ARRAY,2,FALSE)</f>
        <v>10</v>
      </c>
      <c r="AB82" s="23"/>
      <c r="AC82" s="37"/>
      <c r="AD82" s="26" t="str">
        <f>IF(J82&lt;&gt;"Yes",
IF(S82&lt;=0,"Error: Effort value is not defined or is invalid.",
IF(AND(SUM(U82:W82)&gt;0,SUM(U82:W82)&lt;&gt;1),"Error: Complexity % distribution should sum to 100%.",
IF(AND(P82=AS_DEV_EFFORT,X82&lt;&gt;0),"Error: PDs should not be defined when defining as dev effort %.",
IF(AND(P82=AS_DURATION_EFFORT,X82&lt;&gt;0),"Error: PDs should not be defined when defining as duration effort %.","")))))</f>
        <v/>
      </c>
    </row>
    <row r="83" spans="1:30" ht="43.2" hidden="1" outlineLevel="2" x14ac:dyDescent="0.3">
      <c r="A83" s="93" t="s">
        <v>0</v>
      </c>
      <c r="B83" s="21"/>
      <c r="C83" s="85"/>
      <c r="D83" s="85"/>
      <c r="E83" s="85"/>
      <c r="F83" s="86"/>
      <c r="G83" s="22" t="s">
        <v>23</v>
      </c>
      <c r="H83" s="22" t="s">
        <v>23</v>
      </c>
      <c r="I83" s="23" t="s">
        <v>23</v>
      </c>
      <c r="J83" s="22" t="s">
        <v>23</v>
      </c>
      <c r="K83" s="38"/>
      <c r="L83" s="22"/>
      <c r="M83" s="286">
        <f ca="1">IFERROR(OFFSET(M83,-1,,1,1)+0.1,OFFSET(M83,-1,-1,1,1)&amp;".1")</f>
        <v>3.4000000000000004</v>
      </c>
      <c r="N83" s="23" t="s">
        <v>475</v>
      </c>
      <c r="O83" s="23"/>
      <c r="P83" s="23"/>
      <c r="Q83" s="144">
        <v>1</v>
      </c>
      <c r="R83" s="137"/>
      <c r="S83" s="169">
        <f>CEILING((IF(J83="Yes", 0, IF(H83="-",AA83,AA83+AA83*VLOOKUP(H83,BUFFERS_BY_TYPE,2,FALSE)))) +
   (IF(J83="Yes", 0, IF(H83="-",AA83,AA83+AA83*VLOOKUP(H83,BUFFERS_BY_TYPE,2,FALSE))))*VLOOKUP($S$5, SALES_CALL_SCALE_ARRAY, 2,FALSE),0.25)</f>
        <v>1</v>
      </c>
      <c r="T83" s="170"/>
      <c r="U83" s="24">
        <v>0</v>
      </c>
      <c r="V83" s="24">
        <v>1</v>
      </c>
      <c r="W83" s="24">
        <v>0</v>
      </c>
      <c r="X83" s="168">
        <v>1</v>
      </c>
      <c r="Y83" s="169">
        <f>CEILING((IF(P83=AS_DEV_EFFORT, DEV_EFFORT*Q83%,
                           IF(P83=AS_DURATION_EFFORT, (MANUAL_DURATION*5)*Q83%,
                                    (IF(Q83&lt;=1,X83,
                                          IF(SUM(U83:W83)=0,(Q83*X83),
                                               (((Q83*U83)*(X83+(X83*EXTRA_FOR_H)))+
                                               ((Q83*V83)*X83)+
                                               ((Q83*W83)*(X83-(X83*LESS_FOR_L)))
                                    )*IF(R83=0,1,R83))))))+Z83), 0.25)</f>
        <v>1</v>
      </c>
      <c r="Z83" s="25"/>
      <c r="AA83" s="169">
        <f>Y83+Y83*VLOOKUP(I83,EXTRAS_ARRAY,2,FALSE)</f>
        <v>1</v>
      </c>
      <c r="AB83" s="23"/>
      <c r="AC83" s="37"/>
      <c r="AD83" s="26" t="str">
        <f>IF(J83&lt;&gt;"Yes",
IF(S83&lt;=0,"Error: Effort value is not defined or is invalid.",
IF(AND(SUM(U83:W83)&gt;0,SUM(U83:W83)&lt;&gt;1),"Error: Complexity % distribution should sum to 100%.",
IF(AND(P83=AS_DEV_EFFORT,X83&lt;&gt;0),"Error: PDs should not be defined when defining as dev effort %.",
IF(AND(P83=AS_DURATION_EFFORT,X83&lt;&gt;0),"Error: PDs should not be defined when defining as duration effort %.","")))))</f>
        <v/>
      </c>
    </row>
    <row r="84" spans="1:30" s="11" customFormat="1" ht="7.5" hidden="1" customHeight="1" outlineLevel="2" x14ac:dyDescent="0.3">
      <c r="A84" s="93" t="s">
        <v>132</v>
      </c>
      <c r="B84" s="18"/>
      <c r="C84" s="78"/>
      <c r="D84" s="78"/>
      <c r="E84" s="78"/>
      <c r="F84" s="78"/>
      <c r="G84" s="10"/>
      <c r="H84" s="10"/>
      <c r="I84" s="10"/>
      <c r="J84" s="10"/>
      <c r="K84" s="10"/>
      <c r="L84" s="10"/>
      <c r="M84" s="287"/>
      <c r="N84" s="10"/>
      <c r="O84" s="10"/>
      <c r="P84" s="10"/>
      <c r="Q84" s="10"/>
      <c r="R84" s="10"/>
      <c r="S84" s="10"/>
      <c r="T84" s="18"/>
      <c r="U84" s="10"/>
      <c r="V84" s="10"/>
      <c r="W84" s="10"/>
      <c r="X84" s="18"/>
      <c r="Y84" s="10"/>
      <c r="Z84" s="10"/>
      <c r="AA84" s="10"/>
      <c r="AB84" s="60"/>
      <c r="AC84" s="60"/>
      <c r="AD84" s="12"/>
    </row>
    <row r="85" spans="1:30" s="17" customFormat="1" ht="15.6" hidden="1" outlineLevel="1" x14ac:dyDescent="0.3">
      <c r="A85" s="93" t="s">
        <v>100</v>
      </c>
      <c r="B85" s="21"/>
      <c r="C85" s="84"/>
      <c r="D85" s="84"/>
      <c r="E85" s="84"/>
      <c r="F85" s="83"/>
      <c r="G85" s="32"/>
      <c r="H85" s="32"/>
      <c r="I85" s="32"/>
      <c r="J85" s="32"/>
      <c r="K85" s="32"/>
      <c r="L85" s="20">
        <f ca="1">LOOKUP(1000,INDIRECT("L1:"&amp;CELL("address",INDIRECT("R[-1]C",FALSE))))+1</f>
        <v>4</v>
      </c>
      <c r="M85" s="301" t="s">
        <v>467</v>
      </c>
      <c r="N85" s="301"/>
      <c r="O85" s="5"/>
      <c r="P85" s="33"/>
      <c r="Q85" s="33"/>
      <c r="R85" s="33"/>
      <c r="S85" s="33"/>
      <c r="T85" s="167">
        <f>IF($S$6="Exclude", SUMIFS(S86:S94, J86:J94, "&lt;&gt;Yes", G86:G94, "&lt;&gt;Yes"), SUMIFS(S86:S94, J86:J94, "&lt;&gt;Yes"))</f>
        <v>127</v>
      </c>
      <c r="U85" s="33"/>
      <c r="V85" s="33"/>
      <c r="W85" s="33"/>
      <c r="X85" s="34"/>
      <c r="Y85" s="35"/>
      <c r="Z85" s="35"/>
      <c r="AA85" s="35"/>
      <c r="AB85" s="240"/>
      <c r="AC85" s="36"/>
      <c r="AD85" s="26" t="str">
        <f>IF(M85="", "Error: Task name cannot be empty.", "")</f>
        <v/>
      </c>
    </row>
    <row r="86" spans="1:30" s="15" customFormat="1" ht="1.5" hidden="1" customHeight="1" outlineLevel="2" x14ac:dyDescent="0.3">
      <c r="A86" s="93" t="s">
        <v>101</v>
      </c>
      <c r="B86" s="21"/>
      <c r="C86" s="84"/>
      <c r="D86" s="84"/>
      <c r="E86" s="84"/>
      <c r="F86" s="83"/>
      <c r="G86" s="32"/>
      <c r="H86" s="32"/>
      <c r="I86" s="32"/>
      <c r="J86" s="32"/>
      <c r="K86" s="32"/>
      <c r="L86" s="175">
        <f ca="1">L85</f>
        <v>4</v>
      </c>
      <c r="M86" s="176" t="s">
        <v>105</v>
      </c>
      <c r="N86" s="173"/>
      <c r="O86" s="174"/>
      <c r="P86" s="33"/>
      <c r="Q86" s="33"/>
      <c r="R86" s="33"/>
      <c r="S86" s="33"/>
      <c r="T86" s="167"/>
      <c r="U86" s="33"/>
      <c r="V86" s="33"/>
      <c r="W86" s="33"/>
      <c r="X86" s="34"/>
      <c r="Y86" s="35"/>
      <c r="Z86" s="35"/>
      <c r="AA86" s="35"/>
      <c r="AB86" s="36"/>
      <c r="AC86" s="36"/>
      <c r="AD86" s="26"/>
    </row>
    <row r="87" spans="1:30" ht="43.2" hidden="1" outlineLevel="2" x14ac:dyDescent="0.3">
      <c r="A87" s="93" t="s">
        <v>0</v>
      </c>
      <c r="B87" s="21"/>
      <c r="C87" s="85"/>
      <c r="D87" s="85"/>
      <c r="E87" s="85"/>
      <c r="F87" s="86"/>
      <c r="G87" s="22" t="s">
        <v>23</v>
      </c>
      <c r="H87" s="22" t="s">
        <v>23</v>
      </c>
      <c r="I87" s="23" t="s">
        <v>23</v>
      </c>
      <c r="J87" s="22" t="s">
        <v>23</v>
      </c>
      <c r="K87" s="38"/>
      <c r="L87" s="22"/>
      <c r="M87" s="286" t="str">
        <f t="shared" ref="M87:M93" ca="1" si="5">IFERROR(OFFSET(M87,-1,,1,1)+0.1,OFFSET(M87,-1,-1,1,1)&amp;".1")</f>
        <v>4.1</v>
      </c>
      <c r="N87" s="23" t="s">
        <v>600</v>
      </c>
      <c r="O87" s="23"/>
      <c r="P87" s="23"/>
      <c r="Q87" s="144">
        <v>5</v>
      </c>
      <c r="R87" s="137">
        <v>7</v>
      </c>
      <c r="S87" s="169">
        <f t="shared" ref="S87:S93" si="6">CEILING((IF(J87="Yes", 0, IF(H87="-",AA87,AA87+AA87*VLOOKUP(H87,BUFFERS_BY_TYPE,2,FALSE)))) +
   (IF(J87="Yes", 0, IF(H87="-",AA87,AA87+AA87*VLOOKUP(H87,BUFFERS_BY_TYPE,2,FALSE))))*VLOOKUP($S$5, SALES_CALL_SCALE_ARRAY, 2,FALSE),0.25)</f>
        <v>70</v>
      </c>
      <c r="T87" s="170"/>
      <c r="U87" s="24">
        <v>0</v>
      </c>
      <c r="V87" s="24">
        <v>1</v>
      </c>
      <c r="W87" s="24">
        <v>0</v>
      </c>
      <c r="X87" s="168">
        <v>2</v>
      </c>
      <c r="Y87" s="169">
        <f t="shared" ref="Y87:Y93" si="7">CEILING((IF(P87=AS_DEV_EFFORT, DEV_EFFORT*Q87%,
                           IF(P87=AS_DURATION_EFFORT, (MANUAL_DURATION*5)*Q87%,
                                    (IF(Q87&lt;=1,X87,
                                          IF(SUM(U87:W87)=0,(Q87*X87),
                                               (((Q87*U87)*(X87+(X87*EXTRA_FOR_H)))+
                                               ((Q87*V87)*X87)+
                                               ((Q87*W87)*(X87-(X87*LESS_FOR_L)))
                                    )*IF(R87=0,1,R87))))))+Z87), 0.25)</f>
        <v>70</v>
      </c>
      <c r="Z87" s="25"/>
      <c r="AA87" s="169">
        <f t="shared" ref="AA87:AA93" si="8">Y87+Y87*VLOOKUP(I87,EXTRAS_ARRAY,2,FALSE)</f>
        <v>70</v>
      </c>
      <c r="AB87" s="23"/>
      <c r="AC87" s="37"/>
      <c r="AD87" s="26" t="str">
        <f t="shared" ref="AD87:AD93" si="9">IF(J87&lt;&gt;"Yes",
IF(S87&lt;=0,"Error: Effort value is not defined or is invalid.",
IF(AND(SUM(U87:W87)&gt;0,SUM(U87:W87)&lt;&gt;1),"Error: Complexity % distribution should sum to 100%.",
IF(AND(P87=AS_DEV_EFFORT,X87&lt;&gt;0),"Error: PDs should not be defined when defining as dev effort %.",
IF(AND(P87=AS_DURATION_EFFORT,X87&lt;&gt;0),"Error: PDs should not be defined when defining as duration effort %.","")))))</f>
        <v/>
      </c>
    </row>
    <row r="88" spans="1:30" ht="43.2" hidden="1" outlineLevel="2" x14ac:dyDescent="0.3">
      <c r="A88" s="93" t="s">
        <v>0</v>
      </c>
      <c r="B88" s="21"/>
      <c r="C88" s="85"/>
      <c r="D88" s="85"/>
      <c r="E88" s="85"/>
      <c r="F88" s="86"/>
      <c r="G88" s="22" t="s">
        <v>23</v>
      </c>
      <c r="H88" s="22" t="s">
        <v>23</v>
      </c>
      <c r="I88" s="23" t="s">
        <v>23</v>
      </c>
      <c r="J88" s="22" t="s">
        <v>23</v>
      </c>
      <c r="K88" s="38"/>
      <c r="L88" s="22"/>
      <c r="M88" s="286">
        <f t="shared" ca="1" si="5"/>
        <v>4.1999999999999993</v>
      </c>
      <c r="N88" s="23" t="s">
        <v>477</v>
      </c>
      <c r="O88" s="23"/>
      <c r="P88" s="23"/>
      <c r="Q88" s="144">
        <v>3</v>
      </c>
      <c r="R88" s="137">
        <v>3</v>
      </c>
      <c r="S88" s="169">
        <f t="shared" si="6"/>
        <v>18</v>
      </c>
      <c r="T88" s="170"/>
      <c r="U88" s="24">
        <v>0</v>
      </c>
      <c r="V88" s="24">
        <v>1</v>
      </c>
      <c r="W88" s="24">
        <v>0</v>
      </c>
      <c r="X88" s="168">
        <v>2</v>
      </c>
      <c r="Y88" s="169">
        <f t="shared" si="7"/>
        <v>18</v>
      </c>
      <c r="Z88" s="25"/>
      <c r="AA88" s="169">
        <f t="shared" si="8"/>
        <v>18</v>
      </c>
      <c r="AB88" s="23"/>
      <c r="AC88" s="37"/>
      <c r="AD88" s="26" t="str">
        <f t="shared" si="9"/>
        <v/>
      </c>
    </row>
    <row r="89" spans="1:30" ht="28.8" hidden="1" outlineLevel="2" x14ac:dyDescent="0.3">
      <c r="A89" s="93" t="s">
        <v>0</v>
      </c>
      <c r="B89" s="21"/>
      <c r="C89" s="85"/>
      <c r="D89" s="85"/>
      <c r="E89" s="85"/>
      <c r="F89" s="86"/>
      <c r="G89" s="22" t="s">
        <v>23</v>
      </c>
      <c r="H89" s="22" t="s">
        <v>23</v>
      </c>
      <c r="I89" s="23" t="s">
        <v>23</v>
      </c>
      <c r="J89" s="22" t="s">
        <v>23</v>
      </c>
      <c r="K89" s="38"/>
      <c r="L89" s="22"/>
      <c r="M89" s="286">
        <f t="shared" ca="1" si="5"/>
        <v>4.2999999999999989</v>
      </c>
      <c r="N89" s="23" t="s">
        <v>478</v>
      </c>
      <c r="O89" s="23"/>
      <c r="P89" s="23"/>
      <c r="Q89" s="144">
        <v>5</v>
      </c>
      <c r="R89" s="137">
        <v>2</v>
      </c>
      <c r="S89" s="169">
        <f t="shared" si="6"/>
        <v>10</v>
      </c>
      <c r="T89" s="170"/>
      <c r="U89" s="24">
        <v>0</v>
      </c>
      <c r="V89" s="24">
        <v>1</v>
      </c>
      <c r="W89" s="24">
        <v>0</v>
      </c>
      <c r="X89" s="168">
        <v>1</v>
      </c>
      <c r="Y89" s="169">
        <f t="shared" si="7"/>
        <v>10</v>
      </c>
      <c r="Z89" s="25"/>
      <c r="AA89" s="169">
        <f t="shared" si="8"/>
        <v>10</v>
      </c>
      <c r="AB89" s="23"/>
      <c r="AC89" s="37"/>
      <c r="AD89" s="26" t="str">
        <f t="shared" si="9"/>
        <v/>
      </c>
    </row>
    <row r="90" spans="1:30" ht="15.6" hidden="1" outlineLevel="2" x14ac:dyDescent="0.3">
      <c r="A90" s="93" t="s">
        <v>0</v>
      </c>
      <c r="B90" s="21"/>
      <c r="C90" s="85"/>
      <c r="D90" s="85"/>
      <c r="E90" s="85"/>
      <c r="F90" s="86"/>
      <c r="G90" s="22" t="s">
        <v>23</v>
      </c>
      <c r="H90" s="22" t="s">
        <v>23</v>
      </c>
      <c r="I90" s="23" t="s">
        <v>23</v>
      </c>
      <c r="J90" s="22" t="s">
        <v>23</v>
      </c>
      <c r="K90" s="38"/>
      <c r="L90" s="22"/>
      <c r="M90" s="286">
        <f t="shared" ca="1" si="5"/>
        <v>4.3999999999999986</v>
      </c>
      <c r="N90" s="23" t="s">
        <v>601</v>
      </c>
      <c r="O90" s="23"/>
      <c r="P90" s="23"/>
      <c r="Q90" s="144">
        <v>2</v>
      </c>
      <c r="R90" s="137"/>
      <c r="S90" s="169">
        <f t="shared" si="6"/>
        <v>2</v>
      </c>
      <c r="T90" s="170"/>
      <c r="U90" s="24">
        <v>0</v>
      </c>
      <c r="V90" s="24">
        <v>1</v>
      </c>
      <c r="W90" s="24">
        <v>0</v>
      </c>
      <c r="X90" s="168">
        <v>1</v>
      </c>
      <c r="Y90" s="169">
        <f t="shared" si="7"/>
        <v>2</v>
      </c>
      <c r="Z90" s="25"/>
      <c r="AA90" s="169">
        <f t="shared" si="8"/>
        <v>2</v>
      </c>
      <c r="AB90" s="23"/>
      <c r="AC90" s="37"/>
      <c r="AD90" s="26" t="str">
        <f t="shared" si="9"/>
        <v/>
      </c>
    </row>
    <row r="91" spans="1:30" ht="28.8" hidden="1" outlineLevel="2" x14ac:dyDescent="0.3">
      <c r="A91" s="93" t="s">
        <v>0</v>
      </c>
      <c r="B91" s="21"/>
      <c r="C91" s="85"/>
      <c r="D91" s="85"/>
      <c r="E91" s="85"/>
      <c r="F91" s="86"/>
      <c r="G91" s="22" t="s">
        <v>23</v>
      </c>
      <c r="H91" s="22" t="s">
        <v>23</v>
      </c>
      <c r="I91" s="23" t="s">
        <v>23</v>
      </c>
      <c r="J91" s="22" t="s">
        <v>23</v>
      </c>
      <c r="K91" s="38"/>
      <c r="L91" s="22"/>
      <c r="M91" s="286">
        <f t="shared" ca="1" si="5"/>
        <v>4.4999999999999982</v>
      </c>
      <c r="N91" s="23" t="s">
        <v>479</v>
      </c>
      <c r="O91" s="23"/>
      <c r="P91" s="23"/>
      <c r="Q91" s="144">
        <v>2</v>
      </c>
      <c r="R91" s="137"/>
      <c r="S91" s="169">
        <f t="shared" si="6"/>
        <v>10</v>
      </c>
      <c r="T91" s="170"/>
      <c r="U91" s="24">
        <v>0</v>
      </c>
      <c r="V91" s="24">
        <v>1</v>
      </c>
      <c r="W91" s="24">
        <v>0</v>
      </c>
      <c r="X91" s="168">
        <v>4</v>
      </c>
      <c r="Y91" s="169">
        <f t="shared" si="7"/>
        <v>10</v>
      </c>
      <c r="Z91" s="25">
        <v>2</v>
      </c>
      <c r="AA91" s="169">
        <f t="shared" si="8"/>
        <v>10</v>
      </c>
      <c r="AB91" s="23" t="s">
        <v>602</v>
      </c>
      <c r="AC91" s="37"/>
      <c r="AD91" s="26" t="str">
        <f t="shared" si="9"/>
        <v/>
      </c>
    </row>
    <row r="92" spans="1:30" ht="15.6" hidden="1" outlineLevel="2" x14ac:dyDescent="0.3">
      <c r="A92" s="93" t="s">
        <v>0</v>
      </c>
      <c r="B92" s="21"/>
      <c r="C92" s="85"/>
      <c r="D92" s="85"/>
      <c r="E92" s="85"/>
      <c r="F92" s="86"/>
      <c r="G92" s="22" t="s">
        <v>23</v>
      </c>
      <c r="H92" s="22" t="s">
        <v>23</v>
      </c>
      <c r="I92" s="23" t="s">
        <v>23</v>
      </c>
      <c r="J92" s="22" t="s">
        <v>23</v>
      </c>
      <c r="K92" s="38"/>
      <c r="L92" s="22"/>
      <c r="M92" s="286">
        <f t="shared" ca="1" si="5"/>
        <v>4.5999999999999979</v>
      </c>
      <c r="N92" s="23" t="s">
        <v>480</v>
      </c>
      <c r="O92" s="23"/>
      <c r="P92" s="23"/>
      <c r="Q92" s="144">
        <v>1</v>
      </c>
      <c r="R92" s="137"/>
      <c r="S92" s="169">
        <f t="shared" si="6"/>
        <v>7</v>
      </c>
      <c r="T92" s="170"/>
      <c r="U92" s="24">
        <v>0</v>
      </c>
      <c r="V92" s="24">
        <v>1</v>
      </c>
      <c r="W92" s="24">
        <v>0</v>
      </c>
      <c r="X92" s="168">
        <v>8</v>
      </c>
      <c r="Y92" s="169">
        <f t="shared" si="7"/>
        <v>7</v>
      </c>
      <c r="Z92" s="25">
        <v>-1</v>
      </c>
      <c r="AA92" s="169">
        <f t="shared" si="8"/>
        <v>7</v>
      </c>
      <c r="AB92" s="23"/>
      <c r="AC92" s="37"/>
      <c r="AD92" s="26" t="str">
        <f t="shared" si="9"/>
        <v/>
      </c>
    </row>
    <row r="93" spans="1:30" ht="15.6" hidden="1" outlineLevel="2" x14ac:dyDescent="0.3">
      <c r="A93" s="93" t="s">
        <v>0</v>
      </c>
      <c r="B93" s="21"/>
      <c r="C93" s="85"/>
      <c r="D93" s="85"/>
      <c r="E93" s="85"/>
      <c r="F93" s="86"/>
      <c r="G93" s="22" t="s">
        <v>23</v>
      </c>
      <c r="H93" s="22" t="s">
        <v>23</v>
      </c>
      <c r="I93" s="23" t="s">
        <v>23</v>
      </c>
      <c r="J93" s="22" t="s">
        <v>23</v>
      </c>
      <c r="K93" s="38"/>
      <c r="L93" s="22"/>
      <c r="M93" s="286">
        <f t="shared" ca="1" si="5"/>
        <v>4.6999999999999975</v>
      </c>
      <c r="N93" s="23" t="s">
        <v>481</v>
      </c>
      <c r="O93" s="23"/>
      <c r="P93" s="23"/>
      <c r="Q93" s="144">
        <v>2</v>
      </c>
      <c r="R93" s="137"/>
      <c r="S93" s="169">
        <f t="shared" si="6"/>
        <v>10</v>
      </c>
      <c r="T93" s="170"/>
      <c r="U93" s="24">
        <v>0</v>
      </c>
      <c r="V93" s="24">
        <v>1</v>
      </c>
      <c r="W93" s="24">
        <v>0</v>
      </c>
      <c r="X93" s="168">
        <v>5</v>
      </c>
      <c r="Y93" s="169">
        <f t="shared" si="7"/>
        <v>10</v>
      </c>
      <c r="Z93" s="25"/>
      <c r="AA93" s="169">
        <f t="shared" si="8"/>
        <v>10</v>
      </c>
      <c r="AB93" s="23" t="s">
        <v>603</v>
      </c>
      <c r="AC93" s="37"/>
      <c r="AD93" s="26" t="str">
        <f t="shared" si="9"/>
        <v/>
      </c>
    </row>
    <row r="94" spans="1:30" s="11" customFormat="1" ht="7.5" hidden="1" customHeight="1" outlineLevel="2" x14ac:dyDescent="0.3">
      <c r="A94" s="93" t="s">
        <v>132</v>
      </c>
      <c r="B94" s="18"/>
      <c r="C94" s="78"/>
      <c r="D94" s="78"/>
      <c r="E94" s="78"/>
      <c r="F94" s="78"/>
      <c r="G94" s="10"/>
      <c r="H94" s="10"/>
      <c r="I94" s="10"/>
      <c r="J94" s="10"/>
      <c r="K94" s="10"/>
      <c r="L94" s="10"/>
      <c r="M94" s="287"/>
      <c r="N94" s="10"/>
      <c r="O94" s="10"/>
      <c r="P94" s="10"/>
      <c r="Q94" s="10"/>
      <c r="R94" s="10"/>
      <c r="S94" s="10"/>
      <c r="T94" s="18"/>
      <c r="U94" s="10"/>
      <c r="V94" s="10"/>
      <c r="W94" s="10"/>
      <c r="X94" s="18"/>
      <c r="Y94" s="10"/>
      <c r="Z94" s="10"/>
      <c r="AA94" s="10"/>
      <c r="AB94" s="60"/>
      <c r="AC94" s="60"/>
      <c r="AD94" s="12"/>
    </row>
    <row r="95" spans="1:30" s="11" customFormat="1" ht="3" hidden="1" customHeight="1" outlineLevel="1" x14ac:dyDescent="0.3">
      <c r="A95" s="93" t="s">
        <v>102</v>
      </c>
      <c r="B95" s="10"/>
      <c r="C95" s="78"/>
      <c r="D95" s="78"/>
      <c r="E95" s="78"/>
      <c r="F95" s="78"/>
      <c r="G95" s="59"/>
      <c r="H95" s="59"/>
      <c r="I95" s="59"/>
      <c r="J95" s="59"/>
      <c r="K95" s="59"/>
      <c r="L95" s="61"/>
      <c r="M95" s="288"/>
      <c r="N95" s="62"/>
      <c r="O95" s="62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2"/>
      <c r="AC95" s="62"/>
      <c r="AD95" s="12"/>
    </row>
    <row r="96" spans="1:30" s="17" customFormat="1" ht="18" x14ac:dyDescent="0.3">
      <c r="A96" s="93" t="s">
        <v>98</v>
      </c>
      <c r="B96" s="14"/>
      <c r="C96" s="79"/>
      <c r="D96" s="79"/>
      <c r="E96" s="79"/>
      <c r="F96" s="78"/>
      <c r="G96" s="55"/>
      <c r="H96" s="55"/>
      <c r="I96" s="55"/>
      <c r="J96" s="55"/>
      <c r="K96" s="55"/>
      <c r="L96" s="55" t="s">
        <v>69</v>
      </c>
      <c r="M96" s="284" t="s">
        <v>73</v>
      </c>
      <c r="N96" s="56"/>
      <c r="O96" s="57"/>
      <c r="P96" s="58"/>
      <c r="Q96" s="58"/>
      <c r="R96" s="58"/>
      <c r="S96" s="302">
        <f>CEILING(SUMIF(J97:J171, "&lt;&gt;Yes", T97:T171),1)</f>
        <v>412</v>
      </c>
      <c r="T96" s="302"/>
      <c r="U96" s="58"/>
      <c r="V96" s="58"/>
      <c r="W96" s="58"/>
      <c r="X96" s="181"/>
      <c r="Y96" s="181"/>
      <c r="Z96" s="58"/>
      <c r="AA96" s="181"/>
      <c r="AB96" s="58"/>
      <c r="AC96" s="58"/>
      <c r="AD96" s="16"/>
    </row>
    <row r="97" spans="1:30" s="11" customFormat="1" ht="3" customHeight="1" outlineLevel="1" x14ac:dyDescent="0.3">
      <c r="A97" s="93" t="s">
        <v>99</v>
      </c>
      <c r="B97" s="18"/>
      <c r="C97" s="78"/>
      <c r="D97" s="78"/>
      <c r="E97" s="78"/>
      <c r="F97" s="78"/>
      <c r="G97" s="28"/>
      <c r="H97" s="28"/>
      <c r="I97" s="28"/>
      <c r="J97" s="28"/>
      <c r="K97" s="28"/>
      <c r="L97" s="29">
        <v>0</v>
      </c>
      <c r="M97" s="285"/>
      <c r="N97" s="28"/>
      <c r="O97" s="28"/>
      <c r="P97" s="28"/>
      <c r="Q97" s="28"/>
      <c r="R97" s="28"/>
      <c r="S97" s="28"/>
      <c r="T97" s="30"/>
      <c r="U97" s="28"/>
      <c r="V97" s="28"/>
      <c r="W97" s="28"/>
      <c r="X97" s="30"/>
      <c r="Y97" s="28"/>
      <c r="Z97" s="28"/>
      <c r="AA97" s="28"/>
      <c r="AB97" s="31"/>
      <c r="AC97" s="31"/>
      <c r="AD97" s="12"/>
    </row>
    <row r="98" spans="1:30" s="17" customFormat="1" ht="15.6" outlineLevel="1" x14ac:dyDescent="0.3">
      <c r="A98" s="93" t="s">
        <v>100</v>
      </c>
      <c r="B98" s="21"/>
      <c r="C98" s="84"/>
      <c r="D98" s="84"/>
      <c r="E98" s="84"/>
      <c r="F98" s="83"/>
      <c r="G98" s="32"/>
      <c r="H98" s="32"/>
      <c r="I98" s="32"/>
      <c r="J98" s="32"/>
      <c r="K98" s="32"/>
      <c r="L98" s="20">
        <f ca="1">LOOKUP(1000,INDIRECT("L1:"&amp;CELL("address",INDIRECT("R[-1]C",FALSE))))+1</f>
        <v>1</v>
      </c>
      <c r="M98" s="301" t="s">
        <v>448</v>
      </c>
      <c r="N98" s="301"/>
      <c r="O98" s="5"/>
      <c r="P98" s="33"/>
      <c r="Q98" s="33"/>
      <c r="R98" s="33"/>
      <c r="S98" s="33"/>
      <c r="T98" s="167">
        <f>IF($S$6="Exclude", SUMIFS(S99:S104, J99:J104, "&lt;&gt;Yes", G99:G104, "&lt;&gt;Yes"), SUMIFS(S99:S104, J99:J104, "&lt;&gt;Yes"))</f>
        <v>70</v>
      </c>
      <c r="U98" s="33"/>
      <c r="V98" s="33"/>
      <c r="W98" s="33"/>
      <c r="X98" s="34"/>
      <c r="Y98" s="35"/>
      <c r="Z98" s="35"/>
      <c r="AA98" s="35"/>
      <c r="AB98" s="240"/>
      <c r="AC98" s="36"/>
      <c r="AD98" s="26" t="str">
        <f>IF(M98="", "Error: Task name cannot be empty.", "")</f>
        <v/>
      </c>
    </row>
    <row r="99" spans="1:30" s="15" customFormat="1" ht="1.5" customHeight="1" outlineLevel="2" x14ac:dyDescent="0.3">
      <c r="A99" s="93" t="s">
        <v>101</v>
      </c>
      <c r="B99" s="21"/>
      <c r="C99" s="84"/>
      <c r="D99" s="84"/>
      <c r="E99" s="84"/>
      <c r="F99" s="83"/>
      <c r="G99" s="32"/>
      <c r="H99" s="32"/>
      <c r="I99" s="32"/>
      <c r="J99" s="32"/>
      <c r="K99" s="32"/>
      <c r="L99" s="175">
        <f ca="1">L98</f>
        <v>1</v>
      </c>
      <c r="M99" s="176" t="s">
        <v>105</v>
      </c>
      <c r="N99" s="173"/>
      <c r="O99" s="174"/>
      <c r="P99" s="33"/>
      <c r="Q99" s="33"/>
      <c r="R99" s="33"/>
      <c r="S99" s="33"/>
      <c r="T99" s="167"/>
      <c r="U99" s="33"/>
      <c r="V99" s="33"/>
      <c r="W99" s="33"/>
      <c r="X99" s="34"/>
      <c r="Y99" s="35"/>
      <c r="Z99" s="35"/>
      <c r="AA99" s="35"/>
      <c r="AB99" s="36"/>
      <c r="AC99" s="36"/>
      <c r="AD99" s="26"/>
    </row>
    <row r="100" spans="1:30" ht="15.6" outlineLevel="2" x14ac:dyDescent="0.3">
      <c r="A100" s="93" t="s">
        <v>0</v>
      </c>
      <c r="B100" s="21"/>
      <c r="C100" s="85"/>
      <c r="D100" s="85"/>
      <c r="E100" s="85"/>
      <c r="F100" s="86"/>
      <c r="G100" s="22" t="s">
        <v>23</v>
      </c>
      <c r="H100" s="22" t="s">
        <v>23</v>
      </c>
      <c r="I100" s="23" t="s">
        <v>23</v>
      </c>
      <c r="J100" s="22" t="s">
        <v>23</v>
      </c>
      <c r="K100" s="38"/>
      <c r="L100" s="22"/>
      <c r="M100" s="286" t="str">
        <f ca="1">IFERROR(OFFSET(M100,-1,,1,1)+0.1,OFFSET(M100,-1,-1,1,1)&amp;".1")</f>
        <v>1.1</v>
      </c>
      <c r="N100" s="23" t="s">
        <v>489</v>
      </c>
      <c r="O100" s="23"/>
      <c r="P100" s="23"/>
      <c r="Q100" s="144">
        <v>2</v>
      </c>
      <c r="R100" s="137">
        <v>10</v>
      </c>
      <c r="S100" s="169">
        <f>CEILING((IF(J100="Yes", 0, IF(H100="-",AA100,AA100+AA100*VLOOKUP(H100,BUFFERS_BY_TYPE,2,FALSE)))) +
   (IF(J100="Yes", 0, IF(H100="-",AA100,AA100+AA100*VLOOKUP(H100,BUFFERS_BY_TYPE,2,FALSE))))*VLOOKUP($S$5, SALES_CALL_SCALE_ARRAY, 2,FALSE),0.25)</f>
        <v>20</v>
      </c>
      <c r="T100" s="170"/>
      <c r="U100" s="24">
        <v>0</v>
      </c>
      <c r="V100" s="24">
        <v>1</v>
      </c>
      <c r="W100" s="24">
        <v>0</v>
      </c>
      <c r="X100" s="168">
        <v>1</v>
      </c>
      <c r="Y100" s="169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20</v>
      </c>
      <c r="Z100" s="25"/>
      <c r="AA100" s="169">
        <f>Y100+Y100*VLOOKUP(I100,EXTRAS_ARRAY,2,FALSE)</f>
        <v>20</v>
      </c>
      <c r="AB100" s="23"/>
      <c r="AC100" s="37"/>
      <c r="AD100" s="26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ht="15.6" outlineLevel="2" x14ac:dyDescent="0.3">
      <c r="A101" s="93" t="s">
        <v>0</v>
      </c>
      <c r="B101" s="21"/>
      <c r="C101" s="85"/>
      <c r="D101" s="85"/>
      <c r="E101" s="85"/>
      <c r="F101" s="86"/>
      <c r="G101" s="22" t="s">
        <v>23</v>
      </c>
      <c r="H101" s="22" t="s">
        <v>23</v>
      </c>
      <c r="I101" s="23" t="s">
        <v>23</v>
      </c>
      <c r="J101" s="22" t="s">
        <v>23</v>
      </c>
      <c r="K101" s="38"/>
      <c r="L101" s="22"/>
      <c r="M101" s="286">
        <f ca="1">IFERROR(OFFSET(M101,-1,,1,1)+0.1,OFFSET(M101,-1,-1,1,1)&amp;".1")</f>
        <v>1.2000000000000002</v>
      </c>
      <c r="N101" s="23" t="s">
        <v>490</v>
      </c>
      <c r="O101" s="23"/>
      <c r="P101" s="23"/>
      <c r="Q101" s="144">
        <v>2</v>
      </c>
      <c r="R101" s="137">
        <v>10</v>
      </c>
      <c r="S101" s="169">
        <f>CEILING((IF(J101="Yes", 0, IF(H101="-",AA101,AA101+AA101*VLOOKUP(H101,BUFFERS_BY_TYPE,2,FALSE)))) +
   (IF(J101="Yes", 0, IF(H101="-",AA101,AA101+AA101*VLOOKUP(H101,BUFFERS_BY_TYPE,2,FALSE))))*VLOOKUP($S$5, SALES_CALL_SCALE_ARRAY, 2,FALSE),0.25)</f>
        <v>20</v>
      </c>
      <c r="T101" s="170"/>
      <c r="U101" s="24">
        <v>0</v>
      </c>
      <c r="V101" s="24">
        <v>1</v>
      </c>
      <c r="W101" s="24">
        <v>0</v>
      </c>
      <c r="X101" s="168">
        <v>1</v>
      </c>
      <c r="Y101" s="169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20</v>
      </c>
      <c r="Z101" s="25"/>
      <c r="AA101" s="169">
        <f>Y101+Y101*VLOOKUP(I101,EXTRAS_ARRAY,2,FALSE)</f>
        <v>20</v>
      </c>
      <c r="AB101" s="23"/>
      <c r="AC101" s="37"/>
      <c r="AD101" s="26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spans="1:30" ht="28.8" outlineLevel="2" x14ac:dyDescent="0.3">
      <c r="A102" s="93" t="s">
        <v>0</v>
      </c>
      <c r="B102" s="21"/>
      <c r="C102" s="85"/>
      <c r="D102" s="85"/>
      <c r="E102" s="85"/>
      <c r="F102" s="86"/>
      <c r="G102" s="22" t="s">
        <v>23</v>
      </c>
      <c r="H102" s="22" t="s">
        <v>23</v>
      </c>
      <c r="I102" s="23" t="s">
        <v>23</v>
      </c>
      <c r="J102" s="22" t="s">
        <v>23</v>
      </c>
      <c r="K102" s="38"/>
      <c r="L102" s="22"/>
      <c r="M102" s="286">
        <f ca="1">IFERROR(OFFSET(M102,-1,,1,1)+0.1,OFFSET(M102,-1,-1,1,1)&amp;".1")</f>
        <v>1.3000000000000003</v>
      </c>
      <c r="N102" s="23" t="s">
        <v>491</v>
      </c>
      <c r="O102" s="23"/>
      <c r="P102" s="23"/>
      <c r="Q102" s="144">
        <v>2</v>
      </c>
      <c r="R102" s="137">
        <v>10</v>
      </c>
      <c r="S102" s="169">
        <f>CEILING((IF(J102="Yes", 0, IF(H102="-",AA102,AA102+AA102*VLOOKUP(H102,BUFFERS_BY_TYPE,2,FALSE)))) +
   (IF(J102="Yes", 0, IF(H102="-",AA102,AA102+AA102*VLOOKUP(H102,BUFFERS_BY_TYPE,2,FALSE))))*VLOOKUP($S$5, SALES_CALL_SCALE_ARRAY, 2,FALSE),0.25)</f>
        <v>20</v>
      </c>
      <c r="T102" s="170"/>
      <c r="U102" s="24">
        <v>0</v>
      </c>
      <c r="V102" s="24">
        <v>1</v>
      </c>
      <c r="W102" s="24">
        <v>0</v>
      </c>
      <c r="X102" s="168">
        <v>1</v>
      </c>
      <c r="Y102" s="169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>20</v>
      </c>
      <c r="Z102" s="25"/>
      <c r="AA102" s="169">
        <f>Y102+Y102*VLOOKUP(I102,EXTRAS_ARRAY,2,FALSE)</f>
        <v>20</v>
      </c>
      <c r="AB102" s="23"/>
      <c r="AC102" s="37"/>
      <c r="AD102" s="26" t="str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spans="1:30" ht="15.6" outlineLevel="2" x14ac:dyDescent="0.3">
      <c r="A103" s="93" t="s">
        <v>0</v>
      </c>
      <c r="B103" s="21"/>
      <c r="C103" s="85"/>
      <c r="D103" s="85"/>
      <c r="E103" s="85"/>
      <c r="F103" s="86"/>
      <c r="G103" s="22" t="s">
        <v>23</v>
      </c>
      <c r="H103" s="22" t="s">
        <v>23</v>
      </c>
      <c r="I103" s="23" t="s">
        <v>23</v>
      </c>
      <c r="J103" s="22" t="s">
        <v>23</v>
      </c>
      <c r="K103" s="38"/>
      <c r="L103" s="22"/>
      <c r="M103" s="286">
        <f ca="1">IFERROR(OFFSET(M103,-1,,1,1)+0.1,OFFSET(M103,-1,-1,1,1)&amp;".1")</f>
        <v>1.4000000000000004</v>
      </c>
      <c r="N103" s="23" t="s">
        <v>492</v>
      </c>
      <c r="O103" s="23"/>
      <c r="P103" s="23"/>
      <c r="Q103" s="144">
        <v>2</v>
      </c>
      <c r="R103" s="137">
        <v>10</v>
      </c>
      <c r="S103" s="169">
        <f>CEILING((IF(J103="Yes", 0, IF(H103="-",AA103,AA103+AA103*VLOOKUP(H103,BUFFERS_BY_TYPE,2,FALSE)))) +
   (IF(J103="Yes", 0, IF(H103="-",AA103,AA103+AA103*VLOOKUP(H103,BUFFERS_BY_TYPE,2,FALSE))))*VLOOKUP($S$5, SALES_CALL_SCALE_ARRAY, 2,FALSE),0.25)</f>
        <v>10</v>
      </c>
      <c r="T103" s="170"/>
      <c r="U103" s="24">
        <v>0</v>
      </c>
      <c r="V103" s="24">
        <v>1</v>
      </c>
      <c r="W103" s="24">
        <v>0</v>
      </c>
      <c r="X103" s="168">
        <v>0.5</v>
      </c>
      <c r="Y103" s="169">
        <f>CEILING((IF(P103=AS_DEV_EFFORT, DEV_EFFORT*Q103%,
                           IF(P103=AS_DURATION_EFFORT, (MANUAL_DURATION*5)*Q103%,
                                    (IF(Q103&lt;=1,X103,
                                          IF(SUM(U103:W103)=0,(Q103*X103),
                                               (((Q103*U103)*(X103+(X103*EXTRA_FOR_H)))+
                                               ((Q103*V103)*X103)+
                                               ((Q103*W103)*(X103-(X103*LESS_FOR_L)))
                                    )*IF(R103=0,1,R103))))))+Z103), 0.25)</f>
        <v>10</v>
      </c>
      <c r="Z103" s="25"/>
      <c r="AA103" s="169">
        <f>Y103+Y103*VLOOKUP(I103,EXTRAS_ARRAY,2,FALSE)</f>
        <v>10</v>
      </c>
      <c r="AB103" s="23"/>
      <c r="AC103" s="37"/>
      <c r="AD103" s="26" t="str">
        <f>IF(J103&lt;&gt;"Yes",
IF(S103&lt;=0,"Error: Effort value is not defined or is invalid.",
IF(AND(SUM(U103:W103)&gt;0,SUM(U103:W103)&lt;&gt;1),"Error: Complexity % distribution should sum to 100%.",
IF(AND(P103=AS_DEV_EFFORT,X103&lt;&gt;0),"Error: PDs should not be defined when defining as dev effort %.",
IF(AND(P103=AS_DURATION_EFFORT,X103&lt;&gt;0),"Error: PDs should not be defined when defining as duration effort %.","")))))</f>
        <v/>
      </c>
    </row>
    <row r="104" spans="1:30" s="11" customFormat="1" ht="7.5" customHeight="1" outlineLevel="2" x14ac:dyDescent="0.3">
      <c r="A104" s="93" t="s">
        <v>132</v>
      </c>
      <c r="B104" s="18"/>
      <c r="C104" s="78"/>
      <c r="D104" s="78"/>
      <c r="E104" s="78"/>
      <c r="F104" s="78"/>
      <c r="G104" s="10"/>
      <c r="H104" s="10"/>
      <c r="I104" s="10"/>
      <c r="J104" s="10"/>
      <c r="K104" s="10"/>
      <c r="L104" s="10"/>
      <c r="M104" s="287"/>
      <c r="N104" s="10"/>
      <c r="O104" s="10"/>
      <c r="P104" s="10"/>
      <c r="Q104" s="10"/>
      <c r="R104" s="10"/>
      <c r="S104" s="10"/>
      <c r="T104" s="18"/>
      <c r="U104" s="10"/>
      <c r="V104" s="10"/>
      <c r="W104" s="10"/>
      <c r="X104" s="18"/>
      <c r="Y104" s="10"/>
      <c r="Z104" s="10"/>
      <c r="AA104" s="10"/>
      <c r="AB104" s="60"/>
      <c r="AC104" s="60"/>
      <c r="AD104" s="12"/>
    </row>
    <row r="105" spans="1:30" s="17" customFormat="1" ht="15.6" outlineLevel="1" x14ac:dyDescent="0.3">
      <c r="A105" s="93" t="s">
        <v>100</v>
      </c>
      <c r="B105" s="21"/>
      <c r="C105" s="84"/>
      <c r="D105" s="84"/>
      <c r="E105" s="84"/>
      <c r="F105" s="83"/>
      <c r="G105" s="32"/>
      <c r="H105" s="32"/>
      <c r="I105" s="32"/>
      <c r="J105" s="32"/>
      <c r="K105" s="32"/>
      <c r="L105" s="20">
        <f ca="1">LOOKUP(1000,INDIRECT("L1:"&amp;CELL("address",INDIRECT("R[-1]C",FALSE))))+1</f>
        <v>2</v>
      </c>
      <c r="M105" s="301" t="s">
        <v>449</v>
      </c>
      <c r="N105" s="301"/>
      <c r="O105" s="5"/>
      <c r="P105" s="33"/>
      <c r="Q105" s="33"/>
      <c r="R105" s="33"/>
      <c r="S105" s="33"/>
      <c r="T105" s="167">
        <f>IF($S$6="Exclude", SUMIFS(S106:S111, J106:J111, "&lt;&gt;Yes", G106:G111, "&lt;&gt;Yes"), SUMIFS(S106:S111, J106:J111, "&lt;&gt;Yes"))</f>
        <v>27</v>
      </c>
      <c r="U105" s="33"/>
      <c r="V105" s="33"/>
      <c r="W105" s="33"/>
      <c r="X105" s="34"/>
      <c r="Y105" s="35"/>
      <c r="Z105" s="35"/>
      <c r="AA105" s="35"/>
      <c r="AB105" s="240"/>
      <c r="AC105" s="36"/>
      <c r="AD105" s="26" t="str">
        <f>IF(M105="", "Error: Task name cannot be empty.", "")</f>
        <v/>
      </c>
    </row>
    <row r="106" spans="1:30" s="15" customFormat="1" ht="1.5" customHeight="1" outlineLevel="2" x14ac:dyDescent="0.3">
      <c r="A106" s="93" t="s">
        <v>101</v>
      </c>
      <c r="B106" s="21"/>
      <c r="C106" s="84"/>
      <c r="D106" s="84"/>
      <c r="E106" s="84"/>
      <c r="F106" s="83"/>
      <c r="G106" s="32"/>
      <c r="H106" s="32"/>
      <c r="I106" s="32"/>
      <c r="J106" s="32"/>
      <c r="K106" s="32"/>
      <c r="L106" s="175">
        <f ca="1">L105</f>
        <v>2</v>
      </c>
      <c r="M106" s="176" t="s">
        <v>105</v>
      </c>
      <c r="N106" s="173"/>
      <c r="O106" s="174"/>
      <c r="P106" s="33"/>
      <c r="Q106" s="33"/>
      <c r="R106" s="33"/>
      <c r="S106" s="33"/>
      <c r="T106" s="167"/>
      <c r="U106" s="33"/>
      <c r="V106" s="33"/>
      <c r="W106" s="33"/>
      <c r="X106" s="34"/>
      <c r="Y106" s="35"/>
      <c r="Z106" s="35"/>
      <c r="AA106" s="35"/>
      <c r="AB106" s="36"/>
      <c r="AC106" s="36"/>
      <c r="AD106" s="26"/>
    </row>
    <row r="107" spans="1:30" ht="28.8" outlineLevel="2" x14ac:dyDescent="0.3">
      <c r="A107" s="93" t="s">
        <v>0</v>
      </c>
      <c r="B107" s="21"/>
      <c r="C107" s="85"/>
      <c r="D107" s="85"/>
      <c r="E107" s="85"/>
      <c r="F107" s="86"/>
      <c r="G107" s="22" t="s">
        <v>23</v>
      </c>
      <c r="H107" s="22" t="s">
        <v>23</v>
      </c>
      <c r="I107" s="23" t="s">
        <v>23</v>
      </c>
      <c r="J107" s="22" t="s">
        <v>23</v>
      </c>
      <c r="K107" s="38"/>
      <c r="L107" s="22"/>
      <c r="M107" s="286" t="str">
        <f ca="1">IFERROR(OFFSET(M107,-1,,1,1)+0.1,OFFSET(M107,-1,-1,1,1)&amp;".1")</f>
        <v>2.1</v>
      </c>
      <c r="N107" s="23" t="s">
        <v>604</v>
      </c>
      <c r="O107" s="23"/>
      <c r="P107" s="23"/>
      <c r="Q107" s="144">
        <v>6</v>
      </c>
      <c r="R107" s="137"/>
      <c r="S107" s="169">
        <f>CEILING((IF(J107="Yes", 0, IF(H107="-",AA107,AA107+AA107*VLOOKUP(H107,BUFFERS_BY_TYPE,2,FALSE)))) +
   (IF(J107="Yes", 0, IF(H107="-",AA107,AA107+AA107*VLOOKUP(H107,BUFFERS_BY_TYPE,2,FALSE))))*VLOOKUP($S$5, SALES_CALL_SCALE_ARRAY, 2,FALSE),0.25)</f>
        <v>12</v>
      </c>
      <c r="T107" s="170"/>
      <c r="U107" s="24">
        <v>0</v>
      </c>
      <c r="V107" s="24">
        <v>1</v>
      </c>
      <c r="W107" s="24">
        <v>0</v>
      </c>
      <c r="X107" s="168">
        <v>2</v>
      </c>
      <c r="Y107" s="169">
        <f>CEILING((IF(P107=AS_DEV_EFFORT, DEV_EFFORT*Q107%,
                           IF(P107=AS_DURATION_EFFORT, (MANUAL_DURATION*5)*Q107%,
                                    (IF(Q107&lt;=1,X107,
                                          IF(SUM(U107:W107)=0,(Q107*X107),
                                               (((Q107*U107)*(X107+(X107*EXTRA_FOR_H)))+
                                               ((Q107*V107)*X107)+
                                               ((Q107*W107)*(X107-(X107*LESS_FOR_L)))
                                    )*IF(R107=0,1,R107))))))+Z107), 0.25)</f>
        <v>12</v>
      </c>
      <c r="Z107" s="25"/>
      <c r="AA107" s="169">
        <f>Y107+Y107*VLOOKUP(I107,EXTRAS_ARRAY,2,FALSE)</f>
        <v>12</v>
      </c>
      <c r="AB107" s="23"/>
      <c r="AC107" s="37"/>
      <c r="AD107" s="26" t="str">
        <f>IF(J107&lt;&gt;"Yes",
IF(S107&lt;=0,"Error: Effort value is not defined or is invalid.",
IF(AND(SUM(U107:W107)&gt;0,SUM(U107:W107)&lt;&gt;1),"Error: Complexity % distribution should sum to 100%.",
IF(AND(P107=AS_DEV_EFFORT,X107&lt;&gt;0),"Error: PDs should not be defined when defining as dev effort %.",
IF(AND(P107=AS_DURATION_EFFORT,X107&lt;&gt;0),"Error: PDs should not be defined when defining as duration effort %.","")))))</f>
        <v/>
      </c>
    </row>
    <row r="108" spans="1:30" ht="15.6" outlineLevel="2" x14ac:dyDescent="0.3">
      <c r="A108" s="93" t="s">
        <v>0</v>
      </c>
      <c r="B108" s="21"/>
      <c r="C108" s="85"/>
      <c r="D108" s="85"/>
      <c r="E108" s="85"/>
      <c r="F108" s="86"/>
      <c r="G108" s="22" t="s">
        <v>23</v>
      </c>
      <c r="H108" s="22" t="s">
        <v>23</v>
      </c>
      <c r="I108" s="23" t="s">
        <v>23</v>
      </c>
      <c r="J108" s="22" t="s">
        <v>23</v>
      </c>
      <c r="K108" s="38"/>
      <c r="L108" s="22"/>
      <c r="M108" s="286">
        <f ca="1">IFERROR(OFFSET(M108,-1,,1,1)+0.1,OFFSET(M108,-1,-1,1,1)&amp;".1")</f>
        <v>2.2000000000000002</v>
      </c>
      <c r="N108" s="23" t="s">
        <v>493</v>
      </c>
      <c r="O108" s="23"/>
      <c r="P108" s="23"/>
      <c r="Q108" s="144">
        <v>1</v>
      </c>
      <c r="R108" s="137"/>
      <c r="S108" s="169">
        <f>CEILING((IF(J108="Yes", 0, IF(H108="-",AA108,AA108+AA108*VLOOKUP(H108,BUFFERS_BY_TYPE,2,FALSE)))) +
   (IF(J108="Yes", 0, IF(H108="-",AA108,AA108+AA108*VLOOKUP(H108,BUFFERS_BY_TYPE,2,FALSE))))*VLOOKUP($S$5, SALES_CALL_SCALE_ARRAY, 2,FALSE),0.25)</f>
        <v>5</v>
      </c>
      <c r="T108" s="170"/>
      <c r="U108" s="24">
        <v>0</v>
      </c>
      <c r="V108" s="24">
        <v>1</v>
      </c>
      <c r="W108" s="24">
        <v>0</v>
      </c>
      <c r="X108" s="168">
        <v>5</v>
      </c>
      <c r="Y108" s="169">
        <f>CEILING((IF(P108=AS_DEV_EFFORT, DEV_EFFORT*Q108%,
                           IF(P108=AS_DURATION_EFFORT, (MANUAL_DURATION*5)*Q108%,
                                    (IF(Q108&lt;=1,X108,
                                          IF(SUM(U108:W108)=0,(Q108*X108),
                                               (((Q108*U108)*(X108+(X108*EXTRA_FOR_H)))+
                                               ((Q108*V108)*X108)+
                                               ((Q108*W108)*(X108-(X108*LESS_FOR_L)))
                                    )*IF(R108=0,1,R108))))))+Z108), 0.25)</f>
        <v>5</v>
      </c>
      <c r="Z108" s="25"/>
      <c r="AA108" s="169">
        <f>Y108+Y108*VLOOKUP(I108,EXTRAS_ARRAY,2,FALSE)</f>
        <v>5</v>
      </c>
      <c r="AB108" s="23"/>
      <c r="AC108" s="37"/>
      <c r="AD108" s="26" t="str">
        <f>IF(J108&lt;&gt;"Yes",
IF(S108&lt;=0,"Error: Effort value is not defined or is invalid.",
IF(AND(SUM(U108:W108)&gt;0,SUM(U108:W108)&lt;&gt;1),"Error: Complexity % distribution should sum to 100%.",
IF(AND(P108=AS_DEV_EFFORT,X108&lt;&gt;0),"Error: PDs should not be defined when defining as dev effort %.",
IF(AND(P108=AS_DURATION_EFFORT,X108&lt;&gt;0),"Error: PDs should not be defined when defining as duration effort %.","")))))</f>
        <v/>
      </c>
    </row>
    <row r="109" spans="1:30" ht="15.6" outlineLevel="2" x14ac:dyDescent="0.3">
      <c r="A109" s="93" t="s">
        <v>0</v>
      </c>
      <c r="B109" s="21"/>
      <c r="C109" s="85"/>
      <c r="D109" s="85"/>
      <c r="E109" s="85"/>
      <c r="F109" s="86"/>
      <c r="G109" s="22" t="s">
        <v>23</v>
      </c>
      <c r="H109" s="22" t="s">
        <v>23</v>
      </c>
      <c r="I109" s="23" t="s">
        <v>23</v>
      </c>
      <c r="J109" s="22" t="s">
        <v>23</v>
      </c>
      <c r="K109" s="38"/>
      <c r="L109" s="22"/>
      <c r="M109" s="286">
        <f ca="1">IFERROR(OFFSET(M109,-1,,1,1)+0.1,OFFSET(M109,-1,-1,1,1)&amp;".1")</f>
        <v>2.3000000000000003</v>
      </c>
      <c r="N109" s="23" t="s">
        <v>494</v>
      </c>
      <c r="O109" s="23"/>
      <c r="P109" s="23"/>
      <c r="Q109" s="144">
        <v>1</v>
      </c>
      <c r="R109" s="137"/>
      <c r="S109" s="169">
        <f>CEILING((IF(J109="Yes", 0, IF(H109="-",AA109,AA109+AA109*VLOOKUP(H109,BUFFERS_BY_TYPE,2,FALSE)))) +
   (IF(J109="Yes", 0, IF(H109="-",AA109,AA109+AA109*VLOOKUP(H109,BUFFERS_BY_TYPE,2,FALSE))))*VLOOKUP($S$5, SALES_CALL_SCALE_ARRAY, 2,FALSE),0.25)</f>
        <v>5</v>
      </c>
      <c r="T109" s="170"/>
      <c r="U109" s="24">
        <v>0</v>
      </c>
      <c r="V109" s="24">
        <v>1</v>
      </c>
      <c r="W109" s="24">
        <v>0</v>
      </c>
      <c r="X109" s="168">
        <v>5</v>
      </c>
      <c r="Y109" s="169">
        <f>CEILING((IF(P109=AS_DEV_EFFORT, DEV_EFFORT*Q109%,
                           IF(P109=AS_DURATION_EFFORT, (MANUAL_DURATION*5)*Q109%,
                                    (IF(Q109&lt;=1,X109,
                                          IF(SUM(U109:W109)=0,(Q109*X109),
                                               (((Q109*U109)*(X109+(X109*EXTRA_FOR_H)))+
                                               ((Q109*V109)*X109)+
                                               ((Q109*W109)*(X109-(X109*LESS_FOR_L)))
                                    )*IF(R109=0,1,R109))))))+Z109), 0.25)</f>
        <v>5</v>
      </c>
      <c r="Z109" s="25"/>
      <c r="AA109" s="169">
        <f>Y109+Y109*VLOOKUP(I109,EXTRAS_ARRAY,2,FALSE)</f>
        <v>5</v>
      </c>
      <c r="AB109" s="23"/>
      <c r="AC109" s="37"/>
      <c r="AD109" s="26" t="str">
        <f>IF(J109&lt;&gt;"Yes",
IF(S109&lt;=0,"Error: Effort value is not defined or is invalid.",
IF(AND(SUM(U109:W109)&gt;0,SUM(U109:W109)&lt;&gt;1),"Error: Complexity % distribution should sum to 100%.",
IF(AND(P109=AS_DEV_EFFORT,X109&lt;&gt;0),"Error: PDs should not be defined when defining as dev effort %.",
IF(AND(P109=AS_DURATION_EFFORT,X109&lt;&gt;0),"Error: PDs should not be defined when defining as duration effort %.","")))))</f>
        <v/>
      </c>
    </row>
    <row r="110" spans="1:30" ht="15.6" outlineLevel="2" x14ac:dyDescent="0.3">
      <c r="A110" s="93" t="s">
        <v>0</v>
      </c>
      <c r="B110" s="21"/>
      <c r="C110" s="85"/>
      <c r="D110" s="85"/>
      <c r="E110" s="85"/>
      <c r="F110" s="86"/>
      <c r="G110" s="22" t="s">
        <v>23</v>
      </c>
      <c r="H110" s="22" t="s">
        <v>23</v>
      </c>
      <c r="I110" s="23" t="s">
        <v>23</v>
      </c>
      <c r="J110" s="22" t="s">
        <v>23</v>
      </c>
      <c r="K110" s="38"/>
      <c r="L110" s="22"/>
      <c r="M110" s="286">
        <f ca="1">IFERROR(OFFSET(M110,-1,,1,1)+0.1,OFFSET(M110,-1,-1,1,1)&amp;".1")</f>
        <v>2.4000000000000004</v>
      </c>
      <c r="N110" s="23" t="s">
        <v>605</v>
      </c>
      <c r="O110" s="23"/>
      <c r="P110" s="23"/>
      <c r="Q110" s="144">
        <v>1</v>
      </c>
      <c r="R110" s="137"/>
      <c r="S110" s="169">
        <f>CEILING((IF(J110="Yes", 0, IF(H110="-",AA110,AA110+AA110*VLOOKUP(H110,BUFFERS_BY_TYPE,2,FALSE)))) +
   (IF(J110="Yes", 0, IF(H110="-",AA110,AA110+AA110*VLOOKUP(H110,BUFFERS_BY_TYPE,2,FALSE))))*VLOOKUP($S$5, SALES_CALL_SCALE_ARRAY, 2,FALSE),0.25)</f>
        <v>5</v>
      </c>
      <c r="T110" s="170"/>
      <c r="U110" s="24">
        <v>0</v>
      </c>
      <c r="V110" s="24">
        <v>1</v>
      </c>
      <c r="W110" s="24">
        <v>0</v>
      </c>
      <c r="X110" s="168">
        <v>5</v>
      </c>
      <c r="Y110" s="169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>5</v>
      </c>
      <c r="Z110" s="25"/>
      <c r="AA110" s="169">
        <f>Y110+Y110*VLOOKUP(I110,EXTRAS_ARRAY,2,FALSE)</f>
        <v>5</v>
      </c>
      <c r="AB110" s="23"/>
      <c r="AC110" s="37"/>
      <c r="AD110" s="26" t="str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spans="1:30" s="11" customFormat="1" ht="7.5" customHeight="1" outlineLevel="2" x14ac:dyDescent="0.3">
      <c r="A111" s="93" t="s">
        <v>132</v>
      </c>
      <c r="B111" s="18"/>
      <c r="C111" s="78"/>
      <c r="D111" s="78"/>
      <c r="E111" s="78"/>
      <c r="F111" s="78"/>
      <c r="G111" s="10"/>
      <c r="H111" s="10"/>
      <c r="I111" s="10"/>
      <c r="J111" s="10"/>
      <c r="K111" s="10"/>
      <c r="L111" s="10"/>
      <c r="M111" s="287"/>
      <c r="N111" s="10"/>
      <c r="O111" s="10"/>
      <c r="P111" s="10"/>
      <c r="Q111" s="10"/>
      <c r="R111" s="10"/>
      <c r="S111" s="10"/>
      <c r="T111" s="18"/>
      <c r="U111" s="10"/>
      <c r="V111" s="10"/>
      <c r="W111" s="10"/>
      <c r="X111" s="18"/>
      <c r="Y111" s="10"/>
      <c r="Z111" s="10"/>
      <c r="AA111" s="10"/>
      <c r="AB111" s="60"/>
      <c r="AC111" s="60"/>
      <c r="AD111" s="12"/>
    </row>
    <row r="112" spans="1:30" s="17" customFormat="1" ht="15.6" outlineLevel="1" x14ac:dyDescent="0.3">
      <c r="A112" s="93" t="s">
        <v>107</v>
      </c>
      <c r="B112" s="21"/>
      <c r="C112" s="84"/>
      <c r="D112" s="84"/>
      <c r="E112" s="84"/>
      <c r="F112" s="83"/>
      <c r="G112" s="185"/>
      <c r="H112" s="185"/>
      <c r="I112" s="185"/>
      <c r="J112" s="185"/>
      <c r="K112" s="185"/>
      <c r="L112" s="92" t="s">
        <v>109</v>
      </c>
      <c r="M112" s="299" t="s">
        <v>606</v>
      </c>
      <c r="N112" s="299"/>
      <c r="O112" s="87"/>
      <c r="P112" s="88"/>
      <c r="Q112" s="88"/>
      <c r="R112" s="88"/>
      <c r="S112" s="300">
        <f>SUMGROUP(ROW(), "T")</f>
        <v>115</v>
      </c>
      <c r="T112" s="300"/>
      <c r="U112" s="298"/>
      <c r="V112" s="298"/>
      <c r="W112" s="298"/>
      <c r="X112" s="89"/>
      <c r="Y112" s="90"/>
      <c r="Z112" s="90"/>
      <c r="AA112" s="90"/>
      <c r="AB112" s="243"/>
      <c r="AC112" s="91"/>
      <c r="AD112" s="26" t="str">
        <f>IF(M112="", "Error: Module name cannot be empty.", "")</f>
        <v/>
      </c>
    </row>
    <row r="113" spans="1:30" s="17" customFormat="1" ht="15.6" outlineLevel="1" x14ac:dyDescent="0.3">
      <c r="A113" s="93" t="s">
        <v>100</v>
      </c>
      <c r="B113" s="21"/>
      <c r="C113" s="84"/>
      <c r="D113" s="84"/>
      <c r="E113" s="84"/>
      <c r="F113" s="83"/>
      <c r="G113" s="32"/>
      <c r="H113" s="32"/>
      <c r="I113" s="32"/>
      <c r="J113" s="32"/>
      <c r="K113" s="32"/>
      <c r="L113" s="20">
        <f ca="1">LOOKUP(1000,INDIRECT("L1:"&amp;CELL("address",INDIRECT("R[-1]C",FALSE))))+1</f>
        <v>3</v>
      </c>
      <c r="M113" s="301" t="s">
        <v>609</v>
      </c>
      <c r="N113" s="301"/>
      <c r="O113" s="5"/>
      <c r="P113" s="33"/>
      <c r="Q113" s="33"/>
      <c r="R113" s="33"/>
      <c r="S113" s="33"/>
      <c r="T113" s="167">
        <f>IF($S$6="Exclude", SUMIFS(S114:S117, J114:J117, "&lt;&gt;Yes", G114:G117, "&lt;&gt;Yes"), SUMIFS(S114:S117, J114:J117, "&lt;&gt;Yes"))</f>
        <v>32</v>
      </c>
      <c r="U113" s="33"/>
      <c r="V113" s="33"/>
      <c r="W113" s="33"/>
      <c r="X113" s="34"/>
      <c r="Y113" s="35"/>
      <c r="Z113" s="35"/>
      <c r="AA113" s="35"/>
      <c r="AB113" s="240"/>
      <c r="AC113" s="36"/>
      <c r="AD113" s="26" t="str">
        <f>IF(M113="", "Error: Task name cannot be empty.", "")</f>
        <v/>
      </c>
    </row>
    <row r="114" spans="1:30" s="15" customFormat="1" ht="1.5" customHeight="1" outlineLevel="2" x14ac:dyDescent="0.3">
      <c r="A114" s="93" t="s">
        <v>101</v>
      </c>
      <c r="B114" s="21"/>
      <c r="C114" s="84"/>
      <c r="D114" s="84"/>
      <c r="E114" s="84"/>
      <c r="F114" s="83"/>
      <c r="G114" s="32"/>
      <c r="H114" s="32"/>
      <c r="I114" s="32"/>
      <c r="J114" s="32"/>
      <c r="K114" s="32"/>
      <c r="L114" s="175">
        <f ca="1">L113</f>
        <v>3</v>
      </c>
      <c r="M114" s="176" t="s">
        <v>105</v>
      </c>
      <c r="N114" s="173"/>
      <c r="O114" s="174"/>
      <c r="P114" s="33"/>
      <c r="Q114" s="33"/>
      <c r="R114" s="33"/>
      <c r="S114" s="33"/>
      <c r="T114" s="167"/>
      <c r="U114" s="33"/>
      <c r="V114" s="33"/>
      <c r="W114" s="33"/>
      <c r="X114" s="34"/>
      <c r="Y114" s="35"/>
      <c r="Z114" s="35"/>
      <c r="AA114" s="35"/>
      <c r="AB114" s="36"/>
      <c r="AC114" s="36"/>
      <c r="AD114" s="26"/>
    </row>
    <row r="115" spans="1:30" ht="28.8" outlineLevel="2" x14ac:dyDescent="0.3">
      <c r="A115" s="93" t="s">
        <v>0</v>
      </c>
      <c r="B115" s="21"/>
      <c r="C115" s="85"/>
      <c r="D115" s="85"/>
      <c r="E115" s="85"/>
      <c r="F115" s="86"/>
      <c r="G115" s="22" t="s">
        <v>23</v>
      </c>
      <c r="H115" s="22" t="s">
        <v>23</v>
      </c>
      <c r="I115" s="23" t="s">
        <v>23</v>
      </c>
      <c r="J115" s="22" t="s">
        <v>23</v>
      </c>
      <c r="K115" s="38"/>
      <c r="L115" s="22"/>
      <c r="M115" s="286" t="str">
        <f ca="1">IFERROR(OFFSET(M115,-1,,1,1)+0.1,OFFSET(M115,-1,-1,1,1)&amp;".1")</f>
        <v>3.1</v>
      </c>
      <c r="N115" s="23" t="s">
        <v>607</v>
      </c>
      <c r="O115" s="23"/>
      <c r="P115" s="23"/>
      <c r="Q115" s="144">
        <v>4</v>
      </c>
      <c r="R115" s="137"/>
      <c r="S115" s="169">
        <f>CEILING((IF(J115="Yes", 0, IF(H115="-",AA115,AA115+AA115*VLOOKUP(H115,BUFFERS_BY_TYPE,2,FALSE)))) +
   (IF(J115="Yes", 0, IF(H115="-",AA115,AA115+AA115*VLOOKUP(H115,BUFFERS_BY_TYPE,2,FALSE))))*VLOOKUP($S$5, SALES_CALL_SCALE_ARRAY, 2,FALSE),0.25)</f>
        <v>16</v>
      </c>
      <c r="T115" s="170"/>
      <c r="U115" s="24">
        <v>0</v>
      </c>
      <c r="V115" s="24">
        <v>1</v>
      </c>
      <c r="W115" s="24">
        <v>0</v>
      </c>
      <c r="X115" s="168">
        <v>4</v>
      </c>
      <c r="Y115" s="169">
        <f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16</v>
      </c>
      <c r="Z115" s="25"/>
      <c r="AA115" s="169">
        <f>Y115+Y115*VLOOKUP(I115,EXTRAS_ARRAY,2,FALSE)</f>
        <v>16</v>
      </c>
      <c r="AB115" s="23"/>
      <c r="AC115" s="37"/>
      <c r="AD115" s="26" t="str">
        <f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28.8" outlineLevel="2" x14ac:dyDescent="0.3">
      <c r="A116" s="93" t="s">
        <v>0</v>
      </c>
      <c r="B116" s="21"/>
      <c r="C116" s="85"/>
      <c r="D116" s="85"/>
      <c r="E116" s="85"/>
      <c r="F116" s="86"/>
      <c r="G116" s="22" t="s">
        <v>23</v>
      </c>
      <c r="H116" s="22" t="s">
        <v>23</v>
      </c>
      <c r="I116" s="23" t="s">
        <v>23</v>
      </c>
      <c r="J116" s="22" t="s">
        <v>23</v>
      </c>
      <c r="K116" s="38"/>
      <c r="L116" s="22"/>
      <c r="M116" s="286">
        <f ca="1">IFERROR(OFFSET(M116,-1,,1,1)+0.1,OFFSET(M116,-1,-1,1,1)&amp;".1")</f>
        <v>3.2</v>
      </c>
      <c r="N116" s="23" t="s">
        <v>608</v>
      </c>
      <c r="O116" s="23"/>
      <c r="P116" s="23"/>
      <c r="Q116" s="144">
        <v>4</v>
      </c>
      <c r="R116" s="137"/>
      <c r="S116" s="169">
        <f>CEILING((IF(J116="Yes", 0, IF(H116="-",AA116,AA116+AA116*VLOOKUP(H116,BUFFERS_BY_TYPE,2,FALSE)))) +
   (IF(J116="Yes", 0, IF(H116="-",AA116,AA116+AA116*VLOOKUP(H116,BUFFERS_BY_TYPE,2,FALSE))))*VLOOKUP($S$5, SALES_CALL_SCALE_ARRAY, 2,FALSE),0.25)</f>
        <v>16</v>
      </c>
      <c r="T116" s="170"/>
      <c r="U116" s="24">
        <v>0</v>
      </c>
      <c r="V116" s="24">
        <v>1</v>
      </c>
      <c r="W116" s="24">
        <v>0</v>
      </c>
      <c r="X116" s="168">
        <v>4</v>
      </c>
      <c r="Y116" s="169">
        <f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>16</v>
      </c>
      <c r="Z116" s="25"/>
      <c r="AA116" s="169">
        <f>Y116+Y116*VLOOKUP(I116,EXTRAS_ARRAY,2,FALSE)</f>
        <v>16</v>
      </c>
      <c r="AB116" s="23"/>
      <c r="AC116" s="37"/>
      <c r="AD116" s="26" t="str">
        <f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/>
      </c>
    </row>
    <row r="117" spans="1:30" s="11" customFormat="1" ht="7.5" customHeight="1" outlineLevel="2" x14ac:dyDescent="0.3">
      <c r="A117" s="93" t="s">
        <v>132</v>
      </c>
      <c r="B117" s="18"/>
      <c r="C117" s="78"/>
      <c r="D117" s="78"/>
      <c r="E117" s="78"/>
      <c r="F117" s="78"/>
      <c r="G117" s="10"/>
      <c r="H117" s="10"/>
      <c r="I117" s="10"/>
      <c r="J117" s="10"/>
      <c r="K117" s="10"/>
      <c r="L117" s="10"/>
      <c r="M117" s="287"/>
      <c r="N117" s="10"/>
      <c r="O117" s="10"/>
      <c r="P117" s="10"/>
      <c r="Q117" s="10"/>
      <c r="R117" s="10"/>
      <c r="S117" s="10"/>
      <c r="T117" s="18"/>
      <c r="U117" s="10"/>
      <c r="V117" s="10"/>
      <c r="W117" s="10"/>
      <c r="X117" s="18"/>
      <c r="Y117" s="10"/>
      <c r="Z117" s="10"/>
      <c r="AA117" s="10"/>
      <c r="AB117" s="60"/>
      <c r="AC117" s="60"/>
      <c r="AD117" s="12"/>
    </row>
    <row r="118" spans="1:30" s="17" customFormat="1" ht="15.6" outlineLevel="1" x14ac:dyDescent="0.3">
      <c r="A118" s="93" t="s">
        <v>100</v>
      </c>
      <c r="B118" s="21"/>
      <c r="C118" s="84"/>
      <c r="D118" s="84"/>
      <c r="E118" s="84"/>
      <c r="F118" s="83"/>
      <c r="G118" s="32"/>
      <c r="H118" s="32"/>
      <c r="I118" s="32"/>
      <c r="J118" s="32"/>
      <c r="K118" s="32"/>
      <c r="L118" s="20">
        <f ca="1">LOOKUP(1000,INDIRECT("L1:"&amp;CELL("address",INDIRECT("R[-1]C",FALSE))))+1</f>
        <v>4</v>
      </c>
      <c r="M118" s="301" t="s">
        <v>610</v>
      </c>
      <c r="N118" s="301"/>
      <c r="O118" s="5"/>
      <c r="P118" s="33"/>
      <c r="Q118" s="33"/>
      <c r="R118" s="33"/>
      <c r="S118" s="33"/>
      <c r="T118" s="167">
        <f>IF($S$6="Exclude", SUMIFS(S119:S121, J119:J121, "&lt;&gt;Yes", G119:G121, "&lt;&gt;Yes"), SUMIFS(S119:S121, J119:J121, "&lt;&gt;Yes"))</f>
        <v>18</v>
      </c>
      <c r="U118" s="33"/>
      <c r="V118" s="33"/>
      <c r="W118" s="33"/>
      <c r="X118" s="34"/>
      <c r="Y118" s="35"/>
      <c r="Z118" s="35"/>
      <c r="AA118" s="35"/>
      <c r="AB118" s="240"/>
      <c r="AC118" s="36"/>
      <c r="AD118" s="26" t="str">
        <f>IF(M118="", "Error: Task name cannot be empty.", "")</f>
        <v/>
      </c>
    </row>
    <row r="119" spans="1:30" s="15" customFormat="1" ht="1.5" customHeight="1" outlineLevel="2" x14ac:dyDescent="0.3">
      <c r="A119" s="93" t="s">
        <v>101</v>
      </c>
      <c r="B119" s="21"/>
      <c r="C119" s="84"/>
      <c r="D119" s="84"/>
      <c r="E119" s="84"/>
      <c r="F119" s="83"/>
      <c r="G119" s="32"/>
      <c r="H119" s="32"/>
      <c r="I119" s="32"/>
      <c r="J119" s="32"/>
      <c r="K119" s="32"/>
      <c r="L119" s="175">
        <f ca="1">L118</f>
        <v>4</v>
      </c>
      <c r="M119" s="176" t="s">
        <v>105</v>
      </c>
      <c r="N119" s="173"/>
      <c r="O119" s="174"/>
      <c r="P119" s="33"/>
      <c r="Q119" s="33"/>
      <c r="R119" s="33"/>
      <c r="S119" s="33"/>
      <c r="T119" s="167"/>
      <c r="U119" s="33"/>
      <c r="V119" s="33"/>
      <c r="W119" s="33"/>
      <c r="X119" s="34"/>
      <c r="Y119" s="35"/>
      <c r="Z119" s="35"/>
      <c r="AA119" s="35"/>
      <c r="AB119" s="36"/>
      <c r="AC119" s="36"/>
      <c r="AD119" s="26"/>
    </row>
    <row r="120" spans="1:30" ht="72" outlineLevel="2" x14ac:dyDescent="0.3">
      <c r="A120" s="93" t="s">
        <v>0</v>
      </c>
      <c r="B120" s="21"/>
      <c r="C120" s="85"/>
      <c r="D120" s="85"/>
      <c r="E120" s="85"/>
      <c r="F120" s="86"/>
      <c r="G120" s="22" t="s">
        <v>23</v>
      </c>
      <c r="H120" s="22" t="s">
        <v>23</v>
      </c>
      <c r="I120" s="23" t="s">
        <v>23</v>
      </c>
      <c r="J120" s="22" t="s">
        <v>23</v>
      </c>
      <c r="K120" s="38"/>
      <c r="L120" s="22"/>
      <c r="M120" s="286" t="str">
        <f ca="1">IFERROR(OFFSET(M120,-1,,1,1)+0.1,OFFSET(M120,-1,-1,1,1)&amp;".1")</f>
        <v>4.1</v>
      </c>
      <c r="N120" s="23" t="s">
        <v>611</v>
      </c>
      <c r="O120" s="23"/>
      <c r="P120" s="23"/>
      <c r="Q120" s="144">
        <v>6</v>
      </c>
      <c r="R120" s="137"/>
      <c r="S120" s="169">
        <f>CEILING((IF(J120="Yes", 0, IF(H120="-",AA120,AA120+AA120*VLOOKUP(H120,BUFFERS_BY_TYPE,2,FALSE)))) +
   (IF(J120="Yes", 0, IF(H120="-",AA120,AA120+AA120*VLOOKUP(H120,BUFFERS_BY_TYPE,2,FALSE))))*VLOOKUP($S$5, SALES_CALL_SCALE_ARRAY, 2,FALSE),0.25)</f>
        <v>18</v>
      </c>
      <c r="T120" s="170"/>
      <c r="U120" s="24">
        <v>0</v>
      </c>
      <c r="V120" s="24">
        <v>1</v>
      </c>
      <c r="W120" s="24">
        <v>0</v>
      </c>
      <c r="X120" s="168">
        <v>3</v>
      </c>
      <c r="Y120" s="169">
        <f>CEILING((IF(P120=AS_DEV_EFFORT, DEV_EFFORT*Q120%,
                           IF(P120=AS_DURATION_EFFORT, (MANUAL_DURATION*5)*Q120%,
                                    (IF(Q120&lt;=1,X120,
                                          IF(SUM(U120:W120)=0,(Q120*X120),
                                               (((Q120*U120)*(X120+(X120*EXTRA_FOR_H)))+
                                               ((Q120*V120)*X120)+
                                               ((Q120*W120)*(X120-(X120*LESS_FOR_L)))
                                    )*IF(R120=0,1,R120))))))+Z120), 0.25)</f>
        <v>18</v>
      </c>
      <c r="Z120" s="25"/>
      <c r="AA120" s="169">
        <f>Y120+Y120*VLOOKUP(I120,EXTRAS_ARRAY,2,FALSE)</f>
        <v>18</v>
      </c>
      <c r="AB120" s="23"/>
      <c r="AC120" s="37"/>
      <c r="AD120" s="26" t="str">
        <f>IF(J120&lt;&gt;"Yes",
IF(S120&lt;=0,"Error: Effort value is not defined or is invalid.",
IF(AND(SUM(U120:W120)&gt;0,SUM(U120:W120)&lt;&gt;1),"Error: Complexity % distribution should sum to 100%.",
IF(AND(P120=AS_DEV_EFFORT,X120&lt;&gt;0),"Error: PDs should not be defined when defining as dev effort %.",
IF(AND(P120=AS_DURATION_EFFORT,X120&lt;&gt;0),"Error: PDs should not be defined when defining as duration effort %.","")))))</f>
        <v/>
      </c>
    </row>
    <row r="121" spans="1:30" s="11" customFormat="1" ht="7.5" customHeight="1" outlineLevel="2" x14ac:dyDescent="0.3">
      <c r="A121" s="93" t="s">
        <v>132</v>
      </c>
      <c r="B121" s="18"/>
      <c r="C121" s="78"/>
      <c r="D121" s="78"/>
      <c r="E121" s="78"/>
      <c r="F121" s="78"/>
      <c r="G121" s="10"/>
      <c r="H121" s="10"/>
      <c r="I121" s="10"/>
      <c r="J121" s="10"/>
      <c r="K121" s="10"/>
      <c r="L121" s="10"/>
      <c r="M121" s="287"/>
      <c r="N121" s="10"/>
      <c r="O121" s="10"/>
      <c r="P121" s="10"/>
      <c r="Q121" s="10"/>
      <c r="R121" s="10"/>
      <c r="S121" s="10"/>
      <c r="T121" s="18"/>
      <c r="U121" s="10"/>
      <c r="V121" s="10"/>
      <c r="W121" s="10"/>
      <c r="X121" s="18"/>
      <c r="Y121" s="10"/>
      <c r="Z121" s="10"/>
      <c r="AA121" s="10"/>
      <c r="AB121" s="60"/>
      <c r="AC121" s="60"/>
      <c r="AD121" s="12"/>
    </row>
    <row r="122" spans="1:30" s="17" customFormat="1" ht="15.6" outlineLevel="1" x14ac:dyDescent="0.3">
      <c r="A122" s="93" t="s">
        <v>100</v>
      </c>
      <c r="B122" s="21"/>
      <c r="C122" s="84"/>
      <c r="D122" s="84"/>
      <c r="E122" s="84"/>
      <c r="F122" s="83"/>
      <c r="G122" s="32"/>
      <c r="H122" s="32"/>
      <c r="I122" s="32"/>
      <c r="J122" s="32"/>
      <c r="K122" s="32"/>
      <c r="L122" s="20">
        <f ca="1">LOOKUP(1000,INDIRECT("L1:"&amp;CELL("address",INDIRECT("R[-1]C",FALSE))))+1</f>
        <v>5</v>
      </c>
      <c r="M122" s="301" t="s">
        <v>612</v>
      </c>
      <c r="N122" s="301"/>
      <c r="O122" s="5"/>
      <c r="P122" s="33"/>
      <c r="Q122" s="33"/>
      <c r="R122" s="33"/>
      <c r="S122" s="33"/>
      <c r="T122" s="167">
        <f>IF($S$6="Exclude", SUMIFS(S123:S125, J123:J125, "&lt;&gt;Yes", G123:G125, "&lt;&gt;Yes"), SUMIFS(S123:S125, J123:J125, "&lt;&gt;Yes"))</f>
        <v>20</v>
      </c>
      <c r="U122" s="33"/>
      <c r="V122" s="33"/>
      <c r="W122" s="33"/>
      <c r="X122" s="34"/>
      <c r="Y122" s="35"/>
      <c r="Z122" s="35"/>
      <c r="AA122" s="35"/>
      <c r="AB122" s="240"/>
      <c r="AC122" s="36"/>
      <c r="AD122" s="26" t="str">
        <f>IF(M122="", "Error: Task name cannot be empty.", "")</f>
        <v/>
      </c>
    </row>
    <row r="123" spans="1:30" s="15" customFormat="1" ht="1.5" customHeight="1" outlineLevel="2" x14ac:dyDescent="0.3">
      <c r="A123" s="93" t="s">
        <v>101</v>
      </c>
      <c r="B123" s="21"/>
      <c r="C123" s="84"/>
      <c r="D123" s="84"/>
      <c r="E123" s="84"/>
      <c r="F123" s="83"/>
      <c r="G123" s="32"/>
      <c r="H123" s="32"/>
      <c r="I123" s="32"/>
      <c r="J123" s="32"/>
      <c r="K123" s="32"/>
      <c r="L123" s="175">
        <f ca="1">L122</f>
        <v>5</v>
      </c>
      <c r="M123" s="176" t="s">
        <v>105</v>
      </c>
      <c r="N123" s="173"/>
      <c r="O123" s="174"/>
      <c r="P123" s="33"/>
      <c r="Q123" s="33"/>
      <c r="R123" s="33"/>
      <c r="S123" s="33"/>
      <c r="T123" s="167"/>
      <c r="U123" s="33"/>
      <c r="V123" s="33"/>
      <c r="W123" s="33"/>
      <c r="X123" s="34"/>
      <c r="Y123" s="35"/>
      <c r="Z123" s="35"/>
      <c r="AA123" s="35"/>
      <c r="AB123" s="36"/>
      <c r="AC123" s="36"/>
      <c r="AD123" s="26"/>
    </row>
    <row r="124" spans="1:30" ht="57.6" outlineLevel="2" x14ac:dyDescent="0.3">
      <c r="A124" s="93" t="s">
        <v>0</v>
      </c>
      <c r="B124" s="21"/>
      <c r="C124" s="85"/>
      <c r="D124" s="85"/>
      <c r="E124" s="85"/>
      <c r="F124" s="86"/>
      <c r="G124" s="22" t="s">
        <v>23</v>
      </c>
      <c r="H124" s="22" t="s">
        <v>23</v>
      </c>
      <c r="I124" s="23" t="s">
        <v>23</v>
      </c>
      <c r="J124" s="22" t="s">
        <v>23</v>
      </c>
      <c r="K124" s="38"/>
      <c r="L124" s="22"/>
      <c r="M124" s="286" t="str">
        <f ca="1">IFERROR(OFFSET(M124,-1,,1,1)+0.1,OFFSET(M124,-1,-1,1,1)&amp;".1")</f>
        <v>5.1</v>
      </c>
      <c r="N124" s="23" t="s">
        <v>616</v>
      </c>
      <c r="O124" s="23"/>
      <c r="P124" s="23"/>
      <c r="Q124" s="144">
        <v>4</v>
      </c>
      <c r="R124" s="137"/>
      <c r="S124" s="169">
        <f>CEILING((IF(J124="Yes", 0, IF(H124="-",AA124,AA124+AA124*VLOOKUP(H124,BUFFERS_BY_TYPE,2,FALSE)))) +
   (IF(J124="Yes", 0, IF(H124="-",AA124,AA124+AA124*VLOOKUP(H124,BUFFERS_BY_TYPE,2,FALSE))))*VLOOKUP($S$5, SALES_CALL_SCALE_ARRAY, 2,FALSE),0.25)</f>
        <v>20</v>
      </c>
      <c r="T124" s="170"/>
      <c r="U124" s="24">
        <v>0</v>
      </c>
      <c r="V124" s="24">
        <v>1</v>
      </c>
      <c r="W124" s="24">
        <v>0</v>
      </c>
      <c r="X124" s="168">
        <v>5</v>
      </c>
      <c r="Y124" s="169">
        <f>CEILING((IF(P124=AS_DEV_EFFORT, DEV_EFFORT*Q124%,
                           IF(P124=AS_DURATION_EFFORT, (MANUAL_DURATION*5)*Q124%,
                                    (IF(Q124&lt;=1,X124,
                                          IF(SUM(U124:W124)=0,(Q124*X124),
                                               (((Q124*U124)*(X124+(X124*EXTRA_FOR_H)))+
                                               ((Q124*V124)*X124)+
                                               ((Q124*W124)*(X124-(X124*LESS_FOR_L)))
                                    )*IF(R124=0,1,R124))))))+Z124), 0.25)</f>
        <v>20</v>
      </c>
      <c r="Z124" s="25"/>
      <c r="AA124" s="169">
        <f>Y124+Y124*VLOOKUP(I124,EXTRAS_ARRAY,2,FALSE)</f>
        <v>20</v>
      </c>
      <c r="AB124" s="23"/>
      <c r="AC124" s="37"/>
      <c r="AD124" s="26" t="str">
        <f>IF(J124&lt;&gt;"Yes",
IF(S124&lt;=0,"Error: Effort value is not defined or is invalid.",
IF(AND(SUM(U124:W124)&gt;0,SUM(U124:W124)&lt;&gt;1),"Error: Complexity % distribution should sum to 100%.",
IF(AND(P124=AS_DEV_EFFORT,X124&lt;&gt;0),"Error: PDs should not be defined when defining as dev effort %.",
IF(AND(P124=AS_DURATION_EFFORT,X124&lt;&gt;0),"Error: PDs should not be defined when defining as duration effort %.","")))))</f>
        <v/>
      </c>
    </row>
    <row r="125" spans="1:30" s="11" customFormat="1" ht="7.5" customHeight="1" outlineLevel="2" x14ac:dyDescent="0.3">
      <c r="A125" s="93" t="s">
        <v>132</v>
      </c>
      <c r="B125" s="18"/>
      <c r="C125" s="78"/>
      <c r="D125" s="78"/>
      <c r="E125" s="78"/>
      <c r="F125" s="78"/>
      <c r="G125" s="10"/>
      <c r="H125" s="10"/>
      <c r="I125" s="10"/>
      <c r="J125" s="10"/>
      <c r="K125" s="10"/>
      <c r="L125" s="10"/>
      <c r="M125" s="287"/>
      <c r="N125" s="10"/>
      <c r="O125" s="10"/>
      <c r="P125" s="10"/>
      <c r="Q125" s="10"/>
      <c r="R125" s="10"/>
      <c r="S125" s="10"/>
      <c r="T125" s="18"/>
      <c r="U125" s="10"/>
      <c r="V125" s="10"/>
      <c r="W125" s="10"/>
      <c r="X125" s="18"/>
      <c r="Y125" s="10"/>
      <c r="Z125" s="10"/>
      <c r="AA125" s="10"/>
      <c r="AB125" s="60"/>
      <c r="AC125" s="60"/>
      <c r="AD125" s="12"/>
    </row>
    <row r="126" spans="1:30" s="17" customFormat="1" ht="15.6" outlineLevel="1" x14ac:dyDescent="0.3">
      <c r="A126" s="93" t="s">
        <v>100</v>
      </c>
      <c r="B126" s="21"/>
      <c r="C126" s="84"/>
      <c r="D126" s="84"/>
      <c r="E126" s="84"/>
      <c r="F126" s="83"/>
      <c r="G126" s="32"/>
      <c r="H126" s="32"/>
      <c r="I126" s="32"/>
      <c r="J126" s="32"/>
      <c r="K126" s="32"/>
      <c r="L126" s="20">
        <f ca="1">LOOKUP(1000,INDIRECT("L1:"&amp;CELL("address",INDIRECT("R[-1]C",FALSE))))+1</f>
        <v>6</v>
      </c>
      <c r="M126" s="301" t="s">
        <v>615</v>
      </c>
      <c r="N126" s="301"/>
      <c r="O126" s="5"/>
      <c r="P126" s="33"/>
      <c r="Q126" s="33"/>
      <c r="R126" s="33"/>
      <c r="S126" s="33"/>
      <c r="T126" s="167">
        <f>IF($S$6="Exclude", SUMIFS(S127:S129, J127:J129, "&lt;&gt;Yes", G127:G129, "&lt;&gt;Yes"), SUMIFS(S127:S129, J127:J129, "&lt;&gt;Yes"))</f>
        <v>20</v>
      </c>
      <c r="U126" s="33"/>
      <c r="V126" s="33"/>
      <c r="W126" s="33"/>
      <c r="X126" s="34"/>
      <c r="Y126" s="35"/>
      <c r="Z126" s="35"/>
      <c r="AA126" s="35"/>
      <c r="AB126" s="240"/>
      <c r="AC126" s="36"/>
      <c r="AD126" s="26" t="str">
        <f>IF(M126="", "Error: Task name cannot be empty.", "")</f>
        <v/>
      </c>
    </row>
    <row r="127" spans="1:30" s="15" customFormat="1" ht="1.5" customHeight="1" outlineLevel="2" x14ac:dyDescent="0.3">
      <c r="A127" s="93" t="s">
        <v>101</v>
      </c>
      <c r="B127" s="21"/>
      <c r="C127" s="84"/>
      <c r="D127" s="84"/>
      <c r="E127" s="84"/>
      <c r="F127" s="83"/>
      <c r="G127" s="32"/>
      <c r="H127" s="32"/>
      <c r="I127" s="32"/>
      <c r="J127" s="32"/>
      <c r="K127" s="32"/>
      <c r="L127" s="175">
        <f ca="1">L126</f>
        <v>6</v>
      </c>
      <c r="M127" s="176" t="s">
        <v>105</v>
      </c>
      <c r="N127" s="173"/>
      <c r="O127" s="174"/>
      <c r="P127" s="33"/>
      <c r="Q127" s="33"/>
      <c r="R127" s="33"/>
      <c r="S127" s="33"/>
      <c r="T127" s="167"/>
      <c r="U127" s="33"/>
      <c r="V127" s="33"/>
      <c r="W127" s="33"/>
      <c r="X127" s="34"/>
      <c r="Y127" s="35"/>
      <c r="Z127" s="35"/>
      <c r="AA127" s="35"/>
      <c r="AB127" s="36"/>
      <c r="AC127" s="36"/>
      <c r="AD127" s="26"/>
    </row>
    <row r="128" spans="1:30" ht="57.6" outlineLevel="2" x14ac:dyDescent="0.3">
      <c r="A128" s="93" t="s">
        <v>0</v>
      </c>
      <c r="B128" s="21"/>
      <c r="C128" s="85"/>
      <c r="D128" s="85"/>
      <c r="E128" s="85"/>
      <c r="F128" s="86"/>
      <c r="G128" s="22" t="s">
        <v>23</v>
      </c>
      <c r="H128" s="22" t="s">
        <v>23</v>
      </c>
      <c r="I128" s="23" t="s">
        <v>23</v>
      </c>
      <c r="J128" s="22" t="s">
        <v>23</v>
      </c>
      <c r="K128" s="38"/>
      <c r="L128" s="22"/>
      <c r="M128" s="286" t="str">
        <f ca="1">IFERROR(OFFSET(M128,-1,,1,1)+0.1,OFFSET(M128,-1,-1,1,1)&amp;".1")</f>
        <v>6.1</v>
      </c>
      <c r="N128" s="23" t="s">
        <v>617</v>
      </c>
      <c r="O128" s="23"/>
      <c r="P128" s="23"/>
      <c r="Q128" s="144">
        <v>4</v>
      </c>
      <c r="R128" s="137"/>
      <c r="S128" s="169">
        <f>CEILING((IF(J128="Yes", 0, IF(H128="-",AA128,AA128+AA128*VLOOKUP(H128,BUFFERS_BY_TYPE,2,FALSE)))) +
   (IF(J128="Yes", 0, IF(H128="-",AA128,AA128+AA128*VLOOKUP(H128,BUFFERS_BY_TYPE,2,FALSE))))*VLOOKUP($S$5, SALES_CALL_SCALE_ARRAY, 2,FALSE),0.25)</f>
        <v>20</v>
      </c>
      <c r="T128" s="170"/>
      <c r="U128" s="24">
        <v>0</v>
      </c>
      <c r="V128" s="24">
        <v>1</v>
      </c>
      <c r="W128" s="24">
        <v>0</v>
      </c>
      <c r="X128" s="168">
        <v>5</v>
      </c>
      <c r="Y128" s="169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20</v>
      </c>
      <c r="Z128" s="25"/>
      <c r="AA128" s="169">
        <f>Y128+Y128*VLOOKUP(I128,EXTRAS_ARRAY,2,FALSE)</f>
        <v>20</v>
      </c>
      <c r="AB128" s="23"/>
      <c r="AC128" s="37"/>
      <c r="AD128" s="26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s="11" customFormat="1" ht="7.5" customHeight="1" outlineLevel="2" x14ac:dyDescent="0.3">
      <c r="A129" s="93" t="s">
        <v>132</v>
      </c>
      <c r="B129" s="18"/>
      <c r="C129" s="78"/>
      <c r="D129" s="78"/>
      <c r="E129" s="78"/>
      <c r="F129" s="78"/>
      <c r="G129" s="10"/>
      <c r="H129" s="10"/>
      <c r="I129" s="10"/>
      <c r="J129" s="10"/>
      <c r="K129" s="10"/>
      <c r="L129" s="10"/>
      <c r="M129" s="287"/>
      <c r="N129" s="10"/>
      <c r="O129" s="10"/>
      <c r="P129" s="10"/>
      <c r="Q129" s="10"/>
      <c r="R129" s="10"/>
      <c r="S129" s="10"/>
      <c r="T129" s="18"/>
      <c r="U129" s="10"/>
      <c r="V129" s="10"/>
      <c r="W129" s="10"/>
      <c r="X129" s="18"/>
      <c r="Y129" s="10"/>
      <c r="Z129" s="10"/>
      <c r="AA129" s="10"/>
      <c r="AB129" s="60"/>
      <c r="AC129" s="60"/>
      <c r="AD129" s="12"/>
    </row>
    <row r="130" spans="1:30" s="17" customFormat="1" ht="15.6" outlineLevel="1" x14ac:dyDescent="0.3">
      <c r="A130" s="93" t="s">
        <v>100</v>
      </c>
      <c r="B130" s="21"/>
      <c r="C130" s="84"/>
      <c r="D130" s="84"/>
      <c r="E130" s="84"/>
      <c r="F130" s="83"/>
      <c r="G130" s="32"/>
      <c r="H130" s="32"/>
      <c r="I130" s="32"/>
      <c r="J130" s="32"/>
      <c r="K130" s="32"/>
      <c r="L130" s="20">
        <f ca="1">LOOKUP(1000,INDIRECT("L1:"&amp;CELL("address",INDIRECT("R[-1]C",FALSE))))+1</f>
        <v>7</v>
      </c>
      <c r="M130" s="301" t="s">
        <v>613</v>
      </c>
      <c r="N130" s="301"/>
      <c r="O130" s="5"/>
      <c r="P130" s="33"/>
      <c r="Q130" s="33"/>
      <c r="R130" s="33"/>
      <c r="S130" s="33"/>
      <c r="T130" s="167">
        <f>IF($S$6="Exclude", SUMIFS(S131:S133, J131:J133, "&lt;&gt;Yes", G131:G133, "&lt;&gt;Yes"), SUMIFS(S131:S133, J131:J133, "&lt;&gt;Yes"))</f>
        <v>25</v>
      </c>
      <c r="U130" s="33"/>
      <c r="V130" s="33"/>
      <c r="W130" s="33"/>
      <c r="X130" s="34"/>
      <c r="Y130" s="35"/>
      <c r="Z130" s="35"/>
      <c r="AA130" s="35"/>
      <c r="AB130" s="240"/>
      <c r="AC130" s="36"/>
      <c r="AD130" s="26" t="str">
        <f>IF(M130="", "Error: Task name cannot be empty.", "")</f>
        <v/>
      </c>
    </row>
    <row r="131" spans="1:30" s="15" customFormat="1" ht="1.5" customHeight="1" outlineLevel="2" x14ac:dyDescent="0.3">
      <c r="A131" s="93" t="s">
        <v>101</v>
      </c>
      <c r="B131" s="21"/>
      <c r="C131" s="84"/>
      <c r="D131" s="84"/>
      <c r="E131" s="84"/>
      <c r="F131" s="83"/>
      <c r="G131" s="32"/>
      <c r="H131" s="32"/>
      <c r="I131" s="32"/>
      <c r="J131" s="32"/>
      <c r="K131" s="32"/>
      <c r="L131" s="175">
        <f ca="1">L130</f>
        <v>7</v>
      </c>
      <c r="M131" s="176" t="s">
        <v>105</v>
      </c>
      <c r="N131" s="173"/>
      <c r="O131" s="174"/>
      <c r="P131" s="33"/>
      <c r="Q131" s="33"/>
      <c r="R131" s="33"/>
      <c r="S131" s="33"/>
      <c r="T131" s="167"/>
      <c r="U131" s="33"/>
      <c r="V131" s="33"/>
      <c r="W131" s="33"/>
      <c r="X131" s="34"/>
      <c r="Y131" s="35"/>
      <c r="Z131" s="35"/>
      <c r="AA131" s="35"/>
      <c r="AB131" s="36"/>
      <c r="AC131" s="36"/>
      <c r="AD131" s="26"/>
    </row>
    <row r="132" spans="1:30" ht="72" outlineLevel="2" x14ac:dyDescent="0.3">
      <c r="A132" s="93" t="s">
        <v>0</v>
      </c>
      <c r="B132" s="21"/>
      <c r="C132" s="85"/>
      <c r="D132" s="85"/>
      <c r="E132" s="85"/>
      <c r="F132" s="86"/>
      <c r="G132" s="22" t="s">
        <v>23</v>
      </c>
      <c r="H132" s="22" t="s">
        <v>23</v>
      </c>
      <c r="I132" s="23" t="s">
        <v>23</v>
      </c>
      <c r="J132" s="22" t="s">
        <v>23</v>
      </c>
      <c r="K132" s="38"/>
      <c r="L132" s="22"/>
      <c r="M132" s="286" t="str">
        <f ca="1">IFERROR(OFFSET(M132,-1,,1,1)+0.1,OFFSET(M132,-1,-1,1,1)&amp;".1")</f>
        <v>7.1</v>
      </c>
      <c r="N132" s="23" t="s">
        <v>614</v>
      </c>
      <c r="O132" s="23"/>
      <c r="P132" s="23"/>
      <c r="Q132" s="144">
        <v>5</v>
      </c>
      <c r="R132" s="137"/>
      <c r="S132" s="169">
        <f>CEILING((IF(J132="Yes", 0, IF(H132="-",AA132,AA132+AA132*VLOOKUP(H132,BUFFERS_BY_TYPE,2,FALSE)))) +
   (IF(J132="Yes", 0, IF(H132="-",AA132,AA132+AA132*VLOOKUP(H132,BUFFERS_BY_TYPE,2,FALSE))))*VLOOKUP($S$5, SALES_CALL_SCALE_ARRAY, 2,FALSE),0.25)</f>
        <v>25</v>
      </c>
      <c r="T132" s="170"/>
      <c r="U132" s="24">
        <v>0</v>
      </c>
      <c r="V132" s="24">
        <v>1</v>
      </c>
      <c r="W132" s="24">
        <v>0</v>
      </c>
      <c r="X132" s="168">
        <v>5</v>
      </c>
      <c r="Y132" s="169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>25</v>
      </c>
      <c r="Z132" s="25"/>
      <c r="AA132" s="169">
        <f>Y132+Y132*VLOOKUP(I132,EXTRAS_ARRAY,2,FALSE)</f>
        <v>25</v>
      </c>
      <c r="AB132" s="23"/>
      <c r="AC132" s="37"/>
      <c r="AD132" s="26" t="str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spans="1:30" s="11" customFormat="1" ht="7.5" customHeight="1" outlineLevel="2" x14ac:dyDescent="0.3">
      <c r="A133" s="93" t="s">
        <v>132</v>
      </c>
      <c r="B133" s="18"/>
      <c r="C133" s="78"/>
      <c r="D133" s="78"/>
      <c r="E133" s="78"/>
      <c r="F133" s="78"/>
      <c r="G133" s="10"/>
      <c r="H133" s="10"/>
      <c r="I133" s="10"/>
      <c r="J133" s="10"/>
      <c r="K133" s="10"/>
      <c r="L133" s="10"/>
      <c r="M133" s="287"/>
      <c r="N133" s="10"/>
      <c r="O133" s="10"/>
      <c r="P133" s="10"/>
      <c r="Q133" s="10"/>
      <c r="R133" s="10"/>
      <c r="S133" s="10"/>
      <c r="T133" s="18"/>
      <c r="U133" s="10"/>
      <c r="V133" s="10"/>
      <c r="W133" s="10"/>
      <c r="X133" s="18"/>
      <c r="Y133" s="10"/>
      <c r="Z133" s="10"/>
      <c r="AA133" s="10"/>
      <c r="AB133" s="60"/>
      <c r="AC133" s="60"/>
      <c r="AD133" s="12"/>
    </row>
    <row r="134" spans="1:30" s="17" customFormat="1" ht="15.6" outlineLevel="1" x14ac:dyDescent="0.3">
      <c r="A134" s="93" t="s">
        <v>107</v>
      </c>
      <c r="B134" s="21"/>
      <c r="C134" s="84"/>
      <c r="D134" s="84"/>
      <c r="E134" s="84"/>
      <c r="F134" s="83"/>
      <c r="G134" s="185"/>
      <c r="H134" s="185"/>
      <c r="I134" s="185"/>
      <c r="J134" s="185"/>
      <c r="K134" s="185"/>
      <c r="L134" s="92" t="s">
        <v>109</v>
      </c>
      <c r="M134" s="299" t="s">
        <v>618</v>
      </c>
      <c r="N134" s="299"/>
      <c r="O134" s="87"/>
      <c r="P134" s="88"/>
      <c r="Q134" s="88"/>
      <c r="R134" s="88"/>
      <c r="S134" s="300">
        <f>SUMGROUP(ROW(), "T")</f>
        <v>80</v>
      </c>
      <c r="T134" s="300"/>
      <c r="U134" s="298"/>
      <c r="V134" s="298"/>
      <c r="W134" s="298"/>
      <c r="X134" s="89"/>
      <c r="Y134" s="90"/>
      <c r="Z134" s="90"/>
      <c r="AA134" s="90"/>
      <c r="AB134" s="243"/>
      <c r="AC134" s="91"/>
      <c r="AD134" s="26" t="str">
        <f>IF(M134="", "Error: Module name cannot be empty.", "")</f>
        <v/>
      </c>
    </row>
    <row r="135" spans="1:30" s="17" customFormat="1" ht="15.6" outlineLevel="1" collapsed="1" x14ac:dyDescent="0.3">
      <c r="A135" s="93" t="s">
        <v>100</v>
      </c>
      <c r="B135" s="21"/>
      <c r="C135" s="84"/>
      <c r="D135" s="84"/>
      <c r="E135" s="84"/>
      <c r="F135" s="83"/>
      <c r="G135" s="32"/>
      <c r="H135" s="32"/>
      <c r="I135" s="32"/>
      <c r="J135" s="32"/>
      <c r="K135" s="32"/>
      <c r="L135" s="20">
        <f ca="1">LOOKUP(1000,INDIRECT("L1:"&amp;CELL("address",INDIRECT("R[-1]C",FALSE))))+1</f>
        <v>8</v>
      </c>
      <c r="M135" s="301" t="s">
        <v>622</v>
      </c>
      <c r="N135" s="301"/>
      <c r="O135" s="5"/>
      <c r="P135" s="33"/>
      <c r="Q135" s="33"/>
      <c r="R135" s="33"/>
      <c r="S135" s="33"/>
      <c r="T135" s="167">
        <f>IF($S$6="Exclude", SUMIFS(S136:S140, J136:J140, "&lt;&gt;Yes", G136:G140, "&lt;&gt;Yes"), SUMIFS(S136:S140, J136:J140, "&lt;&gt;Yes"))</f>
        <v>45</v>
      </c>
      <c r="U135" s="33"/>
      <c r="V135" s="33"/>
      <c r="W135" s="33"/>
      <c r="X135" s="34"/>
      <c r="Y135" s="35"/>
      <c r="Z135" s="35"/>
      <c r="AA135" s="35"/>
      <c r="AB135" s="240"/>
      <c r="AC135" s="36"/>
      <c r="AD135" s="26" t="str">
        <f>IF(M135="", "Error: Task name cannot be empty.", "")</f>
        <v/>
      </c>
    </row>
    <row r="136" spans="1:30" s="15" customFormat="1" ht="1.5" hidden="1" customHeight="1" outlineLevel="2" x14ac:dyDescent="0.3">
      <c r="A136" s="93" t="s">
        <v>101</v>
      </c>
      <c r="B136" s="21"/>
      <c r="C136" s="84"/>
      <c r="D136" s="84"/>
      <c r="E136" s="84"/>
      <c r="F136" s="83"/>
      <c r="G136" s="32"/>
      <c r="H136" s="32"/>
      <c r="I136" s="32"/>
      <c r="J136" s="32"/>
      <c r="K136" s="32"/>
      <c r="L136" s="175">
        <f ca="1">L135</f>
        <v>8</v>
      </c>
      <c r="M136" s="176" t="s">
        <v>105</v>
      </c>
      <c r="N136" s="173"/>
      <c r="O136" s="174"/>
      <c r="P136" s="33"/>
      <c r="Q136" s="33"/>
      <c r="R136" s="33"/>
      <c r="S136" s="33"/>
      <c r="T136" s="167"/>
      <c r="U136" s="33"/>
      <c r="V136" s="33"/>
      <c r="W136" s="33"/>
      <c r="X136" s="34"/>
      <c r="Y136" s="35"/>
      <c r="Z136" s="35"/>
      <c r="AA136" s="35"/>
      <c r="AB136" s="36"/>
      <c r="AC136" s="36"/>
      <c r="AD136" s="26"/>
    </row>
    <row r="137" spans="1:30" ht="28.8" hidden="1" outlineLevel="2" x14ac:dyDescent="0.3">
      <c r="A137" s="93" t="s">
        <v>0</v>
      </c>
      <c r="B137" s="21"/>
      <c r="C137" s="85"/>
      <c r="D137" s="85"/>
      <c r="E137" s="85"/>
      <c r="F137" s="86"/>
      <c r="G137" s="22" t="s">
        <v>23</v>
      </c>
      <c r="H137" s="22" t="s">
        <v>23</v>
      </c>
      <c r="I137" s="23" t="s">
        <v>23</v>
      </c>
      <c r="J137" s="22" t="s">
        <v>23</v>
      </c>
      <c r="K137" s="38"/>
      <c r="L137" s="22"/>
      <c r="M137" s="286" t="str">
        <f ca="1">IFERROR(OFFSET(M137,-1,,1,1)+0.1,OFFSET(M137,-1,-1,1,1)&amp;".1")</f>
        <v>8.1</v>
      </c>
      <c r="N137" s="23" t="s">
        <v>623</v>
      </c>
      <c r="O137" s="23"/>
      <c r="P137" s="23"/>
      <c r="Q137" s="144">
        <v>3</v>
      </c>
      <c r="R137" s="137"/>
      <c r="S137" s="169">
        <f>CEILING((IF(J137="Yes", 0, IF(H137="-",AA137,AA137+AA137*VLOOKUP(H137,BUFFERS_BY_TYPE,2,FALSE)))) +
   (IF(J137="Yes", 0, IF(H137="-",AA137,AA137+AA137*VLOOKUP(H137,BUFFERS_BY_TYPE,2,FALSE))))*VLOOKUP($S$5, SALES_CALL_SCALE_ARRAY, 2,FALSE),0.25)</f>
        <v>15</v>
      </c>
      <c r="T137" s="170"/>
      <c r="U137" s="24">
        <v>0</v>
      </c>
      <c r="V137" s="24">
        <v>1</v>
      </c>
      <c r="W137" s="24">
        <v>0</v>
      </c>
      <c r="X137" s="168">
        <v>5</v>
      </c>
      <c r="Y137" s="169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15</v>
      </c>
      <c r="Z137" s="25"/>
      <c r="AA137" s="169">
        <f>Y137+Y137*VLOOKUP(I137,EXTRAS_ARRAY,2,FALSE)</f>
        <v>15</v>
      </c>
      <c r="AB137" s="23"/>
      <c r="AC137" s="37"/>
      <c r="AD137" s="26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ht="28.8" hidden="1" outlineLevel="2" x14ac:dyDescent="0.3">
      <c r="A138" s="93" t="s">
        <v>0</v>
      </c>
      <c r="B138" s="21"/>
      <c r="C138" s="85"/>
      <c r="D138" s="85"/>
      <c r="E138" s="85"/>
      <c r="F138" s="86"/>
      <c r="G138" s="22" t="s">
        <v>23</v>
      </c>
      <c r="H138" s="22" t="s">
        <v>23</v>
      </c>
      <c r="I138" s="23" t="s">
        <v>23</v>
      </c>
      <c r="J138" s="22" t="s">
        <v>23</v>
      </c>
      <c r="K138" s="38"/>
      <c r="L138" s="22"/>
      <c r="M138" s="286">
        <f ca="1">IFERROR(OFFSET(M138,-1,,1,1)+0.1,OFFSET(M138,-1,-1,1,1)&amp;".1")</f>
        <v>8.1999999999999993</v>
      </c>
      <c r="N138" s="23" t="s">
        <v>624</v>
      </c>
      <c r="O138" s="23"/>
      <c r="P138" s="23"/>
      <c r="Q138" s="144">
        <v>3</v>
      </c>
      <c r="R138" s="137"/>
      <c r="S138" s="169">
        <f>CEILING((IF(J138="Yes", 0, IF(H138="-",AA138,AA138+AA138*VLOOKUP(H138,BUFFERS_BY_TYPE,2,FALSE)))) +
   (IF(J138="Yes", 0, IF(H138="-",AA138,AA138+AA138*VLOOKUP(H138,BUFFERS_BY_TYPE,2,FALSE))))*VLOOKUP($S$5, SALES_CALL_SCALE_ARRAY, 2,FALSE),0.25)</f>
        <v>15</v>
      </c>
      <c r="T138" s="170"/>
      <c r="U138" s="24">
        <v>0</v>
      </c>
      <c r="V138" s="24">
        <v>1</v>
      </c>
      <c r="W138" s="24">
        <v>0</v>
      </c>
      <c r="X138" s="168">
        <v>5</v>
      </c>
      <c r="Y138" s="169">
        <f>CEILING((IF(P138=AS_DEV_EFFORT, DEV_EFFORT*Q138%,
                           IF(P138=AS_DURATION_EFFORT, (MANUAL_DURATION*5)*Q138%,
                                    (IF(Q138&lt;=1,X138,
                                          IF(SUM(U138:W138)=0,(Q138*X138),
                                               (((Q138*U138)*(X138+(X138*EXTRA_FOR_H)))+
                                               ((Q138*V138)*X138)+
                                               ((Q138*W138)*(X138-(X138*LESS_FOR_L)))
                                    )*IF(R138=0,1,R138))))))+Z138), 0.25)</f>
        <v>15</v>
      </c>
      <c r="Z138" s="25"/>
      <c r="AA138" s="169">
        <f>Y138+Y138*VLOOKUP(I138,EXTRAS_ARRAY,2,FALSE)</f>
        <v>15</v>
      </c>
      <c r="AB138" s="23"/>
      <c r="AC138" s="37"/>
      <c r="AD138" s="26" t="str">
        <f>IF(J138&lt;&gt;"Yes",
IF(S138&lt;=0,"Error: Effort value is not defined or is invalid.",
IF(AND(SUM(U138:W138)&gt;0,SUM(U138:W138)&lt;&gt;1),"Error: Complexity % distribution should sum to 100%.",
IF(AND(P138=AS_DEV_EFFORT,X138&lt;&gt;0),"Error: PDs should not be defined when defining as dev effort %.",
IF(AND(P138=AS_DURATION_EFFORT,X138&lt;&gt;0),"Error: PDs should not be defined when defining as duration effort %.","")))))</f>
        <v/>
      </c>
    </row>
    <row r="139" spans="1:30" ht="28.8" hidden="1" outlineLevel="2" x14ac:dyDescent="0.3">
      <c r="A139" s="93" t="s">
        <v>0</v>
      </c>
      <c r="B139" s="21"/>
      <c r="C139" s="85"/>
      <c r="D139" s="85"/>
      <c r="E139" s="85"/>
      <c r="F139" s="86"/>
      <c r="G139" s="22" t="s">
        <v>23</v>
      </c>
      <c r="H139" s="22" t="s">
        <v>23</v>
      </c>
      <c r="I139" s="23" t="s">
        <v>23</v>
      </c>
      <c r="J139" s="22" t="s">
        <v>23</v>
      </c>
      <c r="K139" s="38"/>
      <c r="L139" s="22"/>
      <c r="M139" s="286">
        <f ca="1">IFERROR(OFFSET(M139,-1,,1,1)+0.1,OFFSET(M139,-1,-1,1,1)&amp;".1")</f>
        <v>8.2999999999999989</v>
      </c>
      <c r="N139" s="23" t="s">
        <v>625</v>
      </c>
      <c r="O139" s="23"/>
      <c r="P139" s="23"/>
      <c r="Q139" s="144">
        <v>3</v>
      </c>
      <c r="R139" s="137"/>
      <c r="S139" s="169">
        <f>CEILING((IF(J139="Yes", 0, IF(H139="-",AA139,AA139+AA139*VLOOKUP(H139,BUFFERS_BY_TYPE,2,FALSE)))) +
   (IF(J139="Yes", 0, IF(H139="-",AA139,AA139+AA139*VLOOKUP(H139,BUFFERS_BY_TYPE,2,FALSE))))*VLOOKUP($S$5, SALES_CALL_SCALE_ARRAY, 2,FALSE),0.25)</f>
        <v>15</v>
      </c>
      <c r="T139" s="170"/>
      <c r="U139" s="24">
        <v>0</v>
      </c>
      <c r="V139" s="24">
        <v>1</v>
      </c>
      <c r="W139" s="24">
        <v>0</v>
      </c>
      <c r="X139" s="168">
        <v>5</v>
      </c>
      <c r="Y139" s="169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15</v>
      </c>
      <c r="Z139" s="25"/>
      <c r="AA139" s="169">
        <f>Y139+Y139*VLOOKUP(I139,EXTRAS_ARRAY,2,FALSE)</f>
        <v>15</v>
      </c>
      <c r="AB139" s="23"/>
      <c r="AC139" s="37"/>
      <c r="AD139" s="26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/>
      </c>
    </row>
    <row r="140" spans="1:30" s="11" customFormat="1" ht="7.5" hidden="1" customHeight="1" outlineLevel="2" x14ac:dyDescent="0.3">
      <c r="A140" s="93" t="s">
        <v>132</v>
      </c>
      <c r="B140" s="18"/>
      <c r="C140" s="78"/>
      <c r="D140" s="78"/>
      <c r="E140" s="78"/>
      <c r="F140" s="78"/>
      <c r="G140" s="10"/>
      <c r="H140" s="10"/>
      <c r="I140" s="10"/>
      <c r="J140" s="10"/>
      <c r="K140" s="10"/>
      <c r="L140" s="10"/>
      <c r="M140" s="287"/>
      <c r="N140" s="10"/>
      <c r="O140" s="10"/>
      <c r="P140" s="10"/>
      <c r="Q140" s="10"/>
      <c r="R140" s="10"/>
      <c r="S140" s="10"/>
      <c r="T140" s="18"/>
      <c r="U140" s="10"/>
      <c r="V140" s="10"/>
      <c r="W140" s="10"/>
      <c r="X140" s="18"/>
      <c r="Y140" s="10"/>
      <c r="Z140" s="10"/>
      <c r="AA140" s="10"/>
      <c r="AB140" s="60"/>
      <c r="AC140" s="60"/>
      <c r="AD140" s="12"/>
    </row>
    <row r="141" spans="1:30" s="17" customFormat="1" ht="15.6" outlineLevel="1" x14ac:dyDescent="0.3">
      <c r="A141" s="93" t="s">
        <v>100</v>
      </c>
      <c r="B141" s="21"/>
      <c r="C141" s="84"/>
      <c r="D141" s="84"/>
      <c r="E141" s="84"/>
      <c r="F141" s="83"/>
      <c r="G141" s="32"/>
      <c r="H141" s="32"/>
      <c r="I141" s="32"/>
      <c r="J141" s="32"/>
      <c r="K141" s="32"/>
      <c r="L141" s="20">
        <f ca="1">LOOKUP(1000,INDIRECT("L1:"&amp;CELL("address",INDIRECT("R[-1]C",FALSE))))+1</f>
        <v>9</v>
      </c>
      <c r="M141" s="301" t="s">
        <v>619</v>
      </c>
      <c r="N141" s="301"/>
      <c r="O141" s="5"/>
      <c r="P141" s="33"/>
      <c r="Q141" s="33"/>
      <c r="R141" s="33"/>
      <c r="S141" s="33"/>
      <c r="T141" s="167">
        <f>IF($S$6="Exclude", SUMIFS(S142:S145, J142:J145, "&lt;&gt;Yes", G142:G145, "&lt;&gt;Yes"), SUMIFS(S142:S145, J142:J145, "&lt;&gt;Yes"))</f>
        <v>35</v>
      </c>
      <c r="U141" s="33"/>
      <c r="V141" s="33"/>
      <c r="W141" s="33"/>
      <c r="X141" s="34"/>
      <c r="Y141" s="35"/>
      <c r="Z141" s="35"/>
      <c r="AA141" s="35"/>
      <c r="AB141" s="240"/>
      <c r="AC141" s="36"/>
      <c r="AD141" s="26" t="str">
        <f>IF(M141="", "Error: Task name cannot be empty.", "")</f>
        <v/>
      </c>
    </row>
    <row r="142" spans="1:30" s="15" customFormat="1" ht="1.5" customHeight="1" outlineLevel="2" x14ac:dyDescent="0.3">
      <c r="A142" s="93" t="s">
        <v>101</v>
      </c>
      <c r="B142" s="21"/>
      <c r="C142" s="84"/>
      <c r="D142" s="84"/>
      <c r="E142" s="84"/>
      <c r="F142" s="83"/>
      <c r="G142" s="32"/>
      <c r="H142" s="32"/>
      <c r="I142" s="32"/>
      <c r="J142" s="32"/>
      <c r="K142" s="32"/>
      <c r="L142" s="175">
        <f ca="1">L141</f>
        <v>9</v>
      </c>
      <c r="M142" s="176" t="s">
        <v>105</v>
      </c>
      <c r="N142" s="173"/>
      <c r="O142" s="174"/>
      <c r="P142" s="33"/>
      <c r="Q142" s="33"/>
      <c r="R142" s="33"/>
      <c r="S142" s="33"/>
      <c r="T142" s="167"/>
      <c r="U142" s="33"/>
      <c r="V142" s="33"/>
      <c r="W142" s="33"/>
      <c r="X142" s="34"/>
      <c r="Y142" s="35"/>
      <c r="Z142" s="35"/>
      <c r="AA142" s="35"/>
      <c r="AB142" s="36"/>
      <c r="AC142" s="36"/>
      <c r="AD142" s="26"/>
    </row>
    <row r="143" spans="1:30" ht="43.2" outlineLevel="2" x14ac:dyDescent="0.3">
      <c r="A143" s="93" t="s">
        <v>0</v>
      </c>
      <c r="B143" s="21"/>
      <c r="C143" s="85"/>
      <c r="D143" s="85"/>
      <c r="E143" s="85"/>
      <c r="F143" s="86"/>
      <c r="G143" s="22" t="s">
        <v>23</v>
      </c>
      <c r="H143" s="22" t="s">
        <v>23</v>
      </c>
      <c r="I143" s="23" t="s">
        <v>23</v>
      </c>
      <c r="J143" s="22" t="s">
        <v>23</v>
      </c>
      <c r="K143" s="38"/>
      <c r="L143" s="22"/>
      <c r="M143" s="286" t="str">
        <f ca="1">IFERROR(OFFSET(M143,-1,,1,1)+0.1,OFFSET(M143,-1,-1,1,1)&amp;".1")</f>
        <v>9.1</v>
      </c>
      <c r="N143" s="23" t="s">
        <v>620</v>
      </c>
      <c r="O143" s="23"/>
      <c r="P143" s="23"/>
      <c r="Q143" s="144">
        <v>4</v>
      </c>
      <c r="R143" s="137"/>
      <c r="S143" s="169">
        <f>CEILING((IF(J143="Yes", 0, IF(H143="-",AA143,AA143+AA143*VLOOKUP(H143,BUFFERS_BY_TYPE,2,FALSE)))) +
   (IF(J143="Yes", 0, IF(H143="-",AA143,AA143+AA143*VLOOKUP(H143,BUFFERS_BY_TYPE,2,FALSE))))*VLOOKUP($S$5, SALES_CALL_SCALE_ARRAY, 2,FALSE),0.25)</f>
        <v>20</v>
      </c>
      <c r="T143" s="170"/>
      <c r="U143" s="24">
        <v>0</v>
      </c>
      <c r="V143" s="24">
        <v>1</v>
      </c>
      <c r="W143" s="24">
        <v>0</v>
      </c>
      <c r="X143" s="168">
        <v>5</v>
      </c>
      <c r="Y143" s="169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20</v>
      </c>
      <c r="Z143" s="25"/>
      <c r="AA143" s="169">
        <f>Y143+Y143*VLOOKUP(I143,EXTRAS_ARRAY,2,FALSE)</f>
        <v>20</v>
      </c>
      <c r="AB143" s="23"/>
      <c r="AC143" s="37"/>
      <c r="AD143" s="26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ht="15.6" outlineLevel="2" x14ac:dyDescent="0.3">
      <c r="A144" s="93" t="s">
        <v>0</v>
      </c>
      <c r="B144" s="21"/>
      <c r="C144" s="85"/>
      <c r="D144" s="85"/>
      <c r="E144" s="85"/>
      <c r="F144" s="86"/>
      <c r="G144" s="22" t="s">
        <v>23</v>
      </c>
      <c r="H144" s="22" t="s">
        <v>23</v>
      </c>
      <c r="I144" s="23" t="s">
        <v>23</v>
      </c>
      <c r="J144" s="22" t="s">
        <v>23</v>
      </c>
      <c r="K144" s="38"/>
      <c r="L144" s="22"/>
      <c r="M144" s="286">
        <f ca="1">IFERROR(OFFSET(M144,-1,,1,1)+0.1,OFFSET(M144,-1,-1,1,1)&amp;".1")</f>
        <v>9.1999999999999993</v>
      </c>
      <c r="N144" s="23" t="s">
        <v>621</v>
      </c>
      <c r="O144" s="23"/>
      <c r="P144" s="23"/>
      <c r="Q144" s="144">
        <v>3</v>
      </c>
      <c r="R144" s="137"/>
      <c r="S144" s="169">
        <f>CEILING((IF(J144="Yes", 0, IF(H144="-",AA144,AA144+AA144*VLOOKUP(H144,BUFFERS_BY_TYPE,2,FALSE)))) +
   (IF(J144="Yes", 0, IF(H144="-",AA144,AA144+AA144*VLOOKUP(H144,BUFFERS_BY_TYPE,2,FALSE))))*VLOOKUP($S$5, SALES_CALL_SCALE_ARRAY, 2,FALSE),0.25)</f>
        <v>15</v>
      </c>
      <c r="T144" s="170"/>
      <c r="U144" s="24">
        <v>0</v>
      </c>
      <c r="V144" s="24">
        <v>1</v>
      </c>
      <c r="W144" s="24">
        <v>0</v>
      </c>
      <c r="X144" s="168">
        <v>5</v>
      </c>
      <c r="Y144" s="169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15</v>
      </c>
      <c r="Z144" s="25"/>
      <c r="AA144" s="169">
        <f>Y144+Y144*VLOOKUP(I144,EXTRAS_ARRAY,2,FALSE)</f>
        <v>15</v>
      </c>
      <c r="AB144" s="23"/>
      <c r="AC144" s="37"/>
      <c r="AD144" s="26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s="11" customFormat="1" ht="7.5" customHeight="1" outlineLevel="2" x14ac:dyDescent="0.3">
      <c r="A145" s="93" t="s">
        <v>132</v>
      </c>
      <c r="B145" s="18"/>
      <c r="C145" s="78"/>
      <c r="D145" s="78"/>
      <c r="E145" s="78"/>
      <c r="F145" s="78"/>
      <c r="G145" s="10"/>
      <c r="H145" s="10"/>
      <c r="I145" s="10"/>
      <c r="J145" s="10"/>
      <c r="K145" s="10"/>
      <c r="L145" s="10"/>
      <c r="M145" s="287"/>
      <c r="N145" s="10"/>
      <c r="O145" s="10"/>
      <c r="P145" s="10"/>
      <c r="Q145" s="10"/>
      <c r="R145" s="10"/>
      <c r="S145" s="10"/>
      <c r="T145" s="18"/>
      <c r="U145" s="10"/>
      <c r="V145" s="10"/>
      <c r="W145" s="10"/>
      <c r="X145" s="18"/>
      <c r="Y145" s="10"/>
      <c r="Z145" s="10"/>
      <c r="AA145" s="10"/>
      <c r="AB145" s="60"/>
      <c r="AC145" s="60"/>
      <c r="AD145" s="12"/>
    </row>
    <row r="146" spans="1:30" s="17" customFormat="1" ht="15.6" outlineLevel="1" x14ac:dyDescent="0.3">
      <c r="A146" s="93" t="s">
        <v>107</v>
      </c>
      <c r="B146" s="21"/>
      <c r="C146" s="84"/>
      <c r="D146" s="84"/>
      <c r="E146" s="84"/>
      <c r="F146" s="83"/>
      <c r="G146" s="185"/>
      <c r="H146" s="185"/>
      <c r="I146" s="185"/>
      <c r="J146" s="185"/>
      <c r="K146" s="185"/>
      <c r="L146" s="92" t="s">
        <v>109</v>
      </c>
      <c r="M146" s="299" t="s">
        <v>626</v>
      </c>
      <c r="N146" s="299"/>
      <c r="O146" s="87"/>
      <c r="P146" s="88"/>
      <c r="Q146" s="88"/>
      <c r="R146" s="88"/>
      <c r="S146" s="300">
        <f>SUMGROUP(ROW(), "T")</f>
        <v>60</v>
      </c>
      <c r="T146" s="300"/>
      <c r="U146" s="298"/>
      <c r="V146" s="298"/>
      <c r="W146" s="298"/>
      <c r="X146" s="89"/>
      <c r="Y146" s="90"/>
      <c r="Z146" s="90"/>
      <c r="AA146" s="90"/>
      <c r="AB146" s="243"/>
      <c r="AC146" s="91"/>
      <c r="AD146" s="26" t="str">
        <f>IF(M146="", "Error: Module name cannot be empty.", "")</f>
        <v/>
      </c>
    </row>
    <row r="147" spans="1:30" s="17" customFormat="1" ht="15.6" outlineLevel="1" x14ac:dyDescent="0.3">
      <c r="A147" s="93" t="s">
        <v>100</v>
      </c>
      <c r="B147" s="21"/>
      <c r="C147" s="84"/>
      <c r="D147" s="84"/>
      <c r="E147" s="84"/>
      <c r="F147" s="83"/>
      <c r="G147" s="32"/>
      <c r="H147" s="32"/>
      <c r="I147" s="32"/>
      <c r="J147" s="32"/>
      <c r="K147" s="32"/>
      <c r="L147" s="20">
        <f ca="1">LOOKUP(1000,INDIRECT("L1:"&amp;CELL("address",INDIRECT("R[-1]C",FALSE))))+1</f>
        <v>10</v>
      </c>
      <c r="M147" s="301" t="s">
        <v>627</v>
      </c>
      <c r="N147" s="301"/>
      <c r="O147" s="5"/>
      <c r="P147" s="33"/>
      <c r="Q147" s="33"/>
      <c r="R147" s="33"/>
      <c r="S147" s="33"/>
      <c r="T147" s="167">
        <f>IF($S$6="Exclude", SUMIFS(S148:S150, J148:J150, "&lt;&gt;Yes", G148:G150, "&lt;&gt;Yes"), SUMIFS(S148:S150, J148:J150, "&lt;&gt;Yes"))</f>
        <v>60</v>
      </c>
      <c r="U147" s="33"/>
      <c r="V147" s="33"/>
      <c r="W147" s="33"/>
      <c r="X147" s="34"/>
      <c r="Y147" s="35"/>
      <c r="Z147" s="35"/>
      <c r="AA147" s="35"/>
      <c r="AB147" s="240"/>
      <c r="AC147" s="36"/>
      <c r="AD147" s="26" t="str">
        <f>IF(M147="", "Error: Task name cannot be empty.", "")</f>
        <v/>
      </c>
    </row>
    <row r="148" spans="1:30" s="15" customFormat="1" ht="1.5" customHeight="1" outlineLevel="2" x14ac:dyDescent="0.3">
      <c r="A148" s="93" t="s">
        <v>101</v>
      </c>
      <c r="B148" s="21"/>
      <c r="C148" s="84"/>
      <c r="D148" s="84"/>
      <c r="E148" s="84"/>
      <c r="F148" s="83"/>
      <c r="G148" s="32"/>
      <c r="H148" s="32"/>
      <c r="I148" s="32"/>
      <c r="J148" s="32"/>
      <c r="K148" s="32"/>
      <c r="L148" s="175">
        <f ca="1">L147</f>
        <v>10</v>
      </c>
      <c r="M148" s="176" t="s">
        <v>105</v>
      </c>
      <c r="N148" s="173"/>
      <c r="O148" s="174"/>
      <c r="P148" s="33"/>
      <c r="Q148" s="33"/>
      <c r="R148" s="33"/>
      <c r="S148" s="33"/>
      <c r="T148" s="167"/>
      <c r="U148" s="33"/>
      <c r="V148" s="33"/>
      <c r="W148" s="33"/>
      <c r="X148" s="34"/>
      <c r="Y148" s="35"/>
      <c r="Z148" s="35"/>
      <c r="AA148" s="35"/>
      <c r="AB148" s="36"/>
      <c r="AC148" s="36"/>
      <c r="AD148" s="26"/>
    </row>
    <row r="149" spans="1:30" ht="72" outlineLevel="2" x14ac:dyDescent="0.3">
      <c r="A149" s="93" t="s">
        <v>0</v>
      </c>
      <c r="B149" s="21"/>
      <c r="C149" s="85"/>
      <c r="D149" s="85"/>
      <c r="E149" s="85"/>
      <c r="F149" s="86"/>
      <c r="G149" s="22" t="s">
        <v>23</v>
      </c>
      <c r="H149" s="22" t="s">
        <v>23</v>
      </c>
      <c r="I149" s="23" t="s">
        <v>23</v>
      </c>
      <c r="J149" s="22" t="s">
        <v>23</v>
      </c>
      <c r="K149" s="38"/>
      <c r="L149" s="22"/>
      <c r="M149" s="286" t="str">
        <f ca="1">IFERROR(OFFSET(M149,-1,,1,1)+0.1,OFFSET(M149,-1,-1,1,1)&amp;".1")</f>
        <v>10.1</v>
      </c>
      <c r="N149" s="23" t="s">
        <v>628</v>
      </c>
      <c r="O149" s="23"/>
      <c r="P149" s="23"/>
      <c r="Q149" s="144">
        <v>4</v>
      </c>
      <c r="R149" s="137"/>
      <c r="S149" s="169">
        <f>CEILING((IF(J149="Yes", 0, IF(H149="-",AA149,AA149+AA149*VLOOKUP(H149,BUFFERS_BY_TYPE,2,FALSE)))) +
   (IF(J149="Yes", 0, IF(H149="-",AA149,AA149+AA149*VLOOKUP(H149,BUFFERS_BY_TYPE,2,FALSE))))*VLOOKUP($S$5, SALES_CALL_SCALE_ARRAY, 2,FALSE),0.25)</f>
        <v>60</v>
      </c>
      <c r="T149" s="170"/>
      <c r="U149" s="24">
        <v>0</v>
      </c>
      <c r="V149" s="24">
        <v>1</v>
      </c>
      <c r="W149" s="24">
        <v>0</v>
      </c>
      <c r="X149" s="168">
        <v>15</v>
      </c>
      <c r="Y149" s="169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60</v>
      </c>
      <c r="Z149" s="25"/>
      <c r="AA149" s="169">
        <f>Y149+Y149*VLOOKUP(I149,EXTRAS_ARRAY,2,FALSE)</f>
        <v>60</v>
      </c>
      <c r="AB149" s="23"/>
      <c r="AC149" s="37"/>
      <c r="AD149" s="26" t="str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spans="1:30" s="11" customFormat="1" ht="7.5" customHeight="1" outlineLevel="2" x14ac:dyDescent="0.3">
      <c r="A150" s="93" t="s">
        <v>132</v>
      </c>
      <c r="B150" s="18"/>
      <c r="C150" s="78"/>
      <c r="D150" s="78"/>
      <c r="E150" s="78"/>
      <c r="F150" s="78"/>
      <c r="G150" s="10"/>
      <c r="H150" s="10"/>
      <c r="I150" s="10"/>
      <c r="J150" s="10"/>
      <c r="K150" s="10"/>
      <c r="L150" s="10"/>
      <c r="M150" s="287"/>
      <c r="N150" s="10"/>
      <c r="O150" s="10"/>
      <c r="P150" s="10"/>
      <c r="Q150" s="10"/>
      <c r="R150" s="10"/>
      <c r="S150" s="10"/>
      <c r="T150" s="18"/>
      <c r="U150" s="10"/>
      <c r="V150" s="10"/>
      <c r="W150" s="10"/>
      <c r="X150" s="18"/>
      <c r="Y150" s="10"/>
      <c r="Z150" s="10"/>
      <c r="AA150" s="10"/>
      <c r="AB150" s="60"/>
      <c r="AC150" s="60"/>
      <c r="AD150" s="12"/>
    </row>
    <row r="151" spans="1:30" s="17" customFormat="1" ht="15.6" outlineLevel="1" x14ac:dyDescent="0.3">
      <c r="A151" s="93" t="s">
        <v>100</v>
      </c>
      <c r="B151" s="21"/>
      <c r="C151" s="84"/>
      <c r="D151" s="84"/>
      <c r="E151" s="84"/>
      <c r="F151" s="83"/>
      <c r="G151" s="32"/>
      <c r="H151" s="32"/>
      <c r="I151" s="32"/>
      <c r="J151" s="32"/>
      <c r="K151" s="32"/>
      <c r="L151" s="20">
        <f ca="1">LOOKUP(1000,INDIRECT("L1:"&amp;CELL("address",INDIRECT("R[-1]C",FALSE))))+1</f>
        <v>11</v>
      </c>
      <c r="M151" s="301" t="s">
        <v>629</v>
      </c>
      <c r="N151" s="301"/>
      <c r="O151" s="5"/>
      <c r="P151" s="33"/>
      <c r="Q151" s="33"/>
      <c r="R151" s="33"/>
      <c r="S151" s="33"/>
      <c r="T151" s="167">
        <f>IF($S$6="Exclude", SUMIFS(S152:S154, J152:J154, "&lt;&gt;Yes", G152:G154, "&lt;&gt;Yes"), SUMIFS(S152:S154, J152:J154, "&lt;&gt;Yes"))</f>
        <v>60</v>
      </c>
      <c r="U151" s="33"/>
      <c r="V151" s="33"/>
      <c r="W151" s="33"/>
      <c r="X151" s="34"/>
      <c r="Y151" s="35"/>
      <c r="Z151" s="35"/>
      <c r="AA151" s="35"/>
      <c r="AB151" s="240"/>
      <c r="AC151" s="36"/>
      <c r="AD151" s="26" t="str">
        <f>IF(M151="", "Error: Task name cannot be empty.", "")</f>
        <v/>
      </c>
    </row>
    <row r="152" spans="1:30" s="15" customFormat="1" ht="1.5" customHeight="1" outlineLevel="2" x14ac:dyDescent="0.3">
      <c r="A152" s="93" t="s">
        <v>101</v>
      </c>
      <c r="B152" s="21"/>
      <c r="C152" s="84"/>
      <c r="D152" s="84"/>
      <c r="E152" s="84"/>
      <c r="F152" s="83"/>
      <c r="G152" s="32"/>
      <c r="H152" s="32"/>
      <c r="I152" s="32"/>
      <c r="J152" s="32"/>
      <c r="K152" s="32"/>
      <c r="L152" s="175">
        <f ca="1">L151</f>
        <v>11</v>
      </c>
      <c r="M152" s="176" t="s">
        <v>105</v>
      </c>
      <c r="N152" s="173"/>
      <c r="O152" s="174"/>
      <c r="P152" s="33"/>
      <c r="Q152" s="33"/>
      <c r="R152" s="33"/>
      <c r="S152" s="33"/>
      <c r="T152" s="167"/>
      <c r="U152" s="33"/>
      <c r="V152" s="33"/>
      <c r="W152" s="33"/>
      <c r="X152" s="34"/>
      <c r="Y152" s="35"/>
      <c r="Z152" s="35"/>
      <c r="AA152" s="35"/>
      <c r="AB152" s="36"/>
      <c r="AC152" s="36"/>
      <c r="AD152" s="26"/>
    </row>
    <row r="153" spans="1:30" ht="57.6" outlineLevel="2" x14ac:dyDescent="0.3">
      <c r="A153" s="93" t="s">
        <v>0</v>
      </c>
      <c r="B153" s="21"/>
      <c r="C153" s="85"/>
      <c r="D153" s="85"/>
      <c r="E153" s="85"/>
      <c r="F153" s="86"/>
      <c r="G153" s="22" t="s">
        <v>23</v>
      </c>
      <c r="H153" s="22" t="s">
        <v>23</v>
      </c>
      <c r="I153" s="23" t="s">
        <v>23</v>
      </c>
      <c r="J153" s="22" t="s">
        <v>23</v>
      </c>
      <c r="K153" s="38"/>
      <c r="L153" s="22"/>
      <c r="M153" s="286" t="str">
        <f ca="1">IFERROR(OFFSET(M153,-1,,1,1)+0.1,OFFSET(M153,-1,-1,1,1)&amp;".1")</f>
        <v>11.1</v>
      </c>
      <c r="N153" s="23" t="s">
        <v>630</v>
      </c>
      <c r="O153" s="23"/>
      <c r="P153" s="23"/>
      <c r="Q153" s="144">
        <v>4</v>
      </c>
      <c r="R153" s="137"/>
      <c r="S153" s="169">
        <f>CEILING((IF(J153="Yes", 0, IF(H153="-",AA153,AA153+AA153*VLOOKUP(H153,BUFFERS_BY_TYPE,2,FALSE)))) +
   (IF(J153="Yes", 0, IF(H153="-",AA153,AA153+AA153*VLOOKUP(H153,BUFFERS_BY_TYPE,2,FALSE))))*VLOOKUP($S$5, SALES_CALL_SCALE_ARRAY, 2,FALSE),0.25)</f>
        <v>60</v>
      </c>
      <c r="T153" s="170"/>
      <c r="U153" s="24">
        <v>0</v>
      </c>
      <c r="V153" s="24">
        <v>1</v>
      </c>
      <c r="W153" s="24">
        <v>0</v>
      </c>
      <c r="X153" s="168">
        <v>15</v>
      </c>
      <c r="Y153" s="169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60</v>
      </c>
      <c r="Z153" s="25"/>
      <c r="AA153" s="169">
        <f>Y153+Y153*VLOOKUP(I153,EXTRAS_ARRAY,2,FALSE)</f>
        <v>60</v>
      </c>
      <c r="AB153" s="23"/>
      <c r="AC153" s="37"/>
      <c r="AD153" s="26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s="11" customFormat="1" ht="7.5" customHeight="1" outlineLevel="2" x14ac:dyDescent="0.3">
      <c r="A154" s="93" t="s">
        <v>132</v>
      </c>
      <c r="B154" s="18"/>
      <c r="C154" s="78"/>
      <c r="D154" s="78"/>
      <c r="E154" s="78"/>
      <c r="F154" s="78"/>
      <c r="G154" s="10"/>
      <c r="H154" s="10"/>
      <c r="I154" s="10"/>
      <c r="J154" s="10"/>
      <c r="K154" s="10"/>
      <c r="L154" s="10"/>
      <c r="M154" s="287"/>
      <c r="N154" s="10"/>
      <c r="O154" s="10"/>
      <c r="P154" s="10"/>
      <c r="Q154" s="10"/>
      <c r="R154" s="10"/>
      <c r="S154" s="10"/>
      <c r="T154" s="18"/>
      <c r="U154" s="10"/>
      <c r="V154" s="10"/>
      <c r="W154" s="10"/>
      <c r="X154" s="18"/>
      <c r="Y154" s="10"/>
      <c r="Z154" s="10"/>
      <c r="AA154" s="10"/>
      <c r="AB154" s="60"/>
      <c r="AC154" s="60"/>
      <c r="AD154" s="12"/>
    </row>
    <row r="155" spans="1:30" s="17" customFormat="1" ht="15.6" outlineLevel="1" x14ac:dyDescent="0.3">
      <c r="A155" s="93" t="s">
        <v>107</v>
      </c>
      <c r="B155" s="21"/>
      <c r="C155" s="84"/>
      <c r="D155" s="84"/>
      <c r="E155" s="84"/>
      <c r="F155" s="83"/>
      <c r="G155" s="185"/>
      <c r="H155" s="185"/>
      <c r="I155" s="185"/>
      <c r="J155" s="185"/>
      <c r="K155" s="185"/>
      <c r="L155" s="92" t="s">
        <v>109</v>
      </c>
      <c r="M155" s="299" t="s">
        <v>450</v>
      </c>
      <c r="N155" s="299"/>
      <c r="O155" s="87"/>
      <c r="P155" s="88"/>
      <c r="Q155" s="88"/>
      <c r="R155" s="88"/>
      <c r="S155" s="300">
        <f>SUMGROUP(ROW(), "T")</f>
        <v>0</v>
      </c>
      <c r="T155" s="300"/>
      <c r="U155" s="298"/>
      <c r="V155" s="298"/>
      <c r="W155" s="298"/>
      <c r="X155" s="89"/>
      <c r="Y155" s="90"/>
      <c r="Z155" s="90"/>
      <c r="AA155" s="90"/>
      <c r="AB155" s="243"/>
      <c r="AC155" s="91"/>
      <c r="AD155" s="26" t="str">
        <f>IF(M155="", "Error: Module name cannot be empty.", "")</f>
        <v/>
      </c>
    </row>
    <row r="156" spans="1:30" s="17" customFormat="1" ht="15.6" outlineLevel="1" collapsed="1" x14ac:dyDescent="0.3">
      <c r="A156" s="93" t="s">
        <v>100</v>
      </c>
      <c r="B156" s="21"/>
      <c r="C156" s="84"/>
      <c r="D156" s="84"/>
      <c r="E156" s="84"/>
      <c r="F156" s="83"/>
      <c r="G156" s="32"/>
      <c r="H156" s="32"/>
      <c r="I156" s="32"/>
      <c r="J156" s="32"/>
      <c r="K156" s="32"/>
      <c r="L156" s="20">
        <f ca="1">LOOKUP(1000,INDIRECT("L1:"&amp;CELL("address",INDIRECT("R[-1]C",FALSE))))+1</f>
        <v>12</v>
      </c>
      <c r="M156" s="301" t="s">
        <v>451</v>
      </c>
      <c r="N156" s="301"/>
      <c r="O156" s="5"/>
      <c r="P156" s="33"/>
      <c r="Q156" s="33"/>
      <c r="R156" s="33"/>
      <c r="S156" s="33"/>
      <c r="T156" s="167">
        <f>IF($S$6="Exclude", SUMIFS(S157:S160, J157:J160, "&lt;&gt;Yes", G157:G160, "&lt;&gt;Yes"), SUMIFS(S157:S160, J157:J160, "&lt;&gt;Yes"))</f>
        <v>0</v>
      </c>
      <c r="U156" s="33"/>
      <c r="V156" s="33"/>
      <c r="W156" s="33"/>
      <c r="X156" s="34"/>
      <c r="Y156" s="35"/>
      <c r="Z156" s="35"/>
      <c r="AA156" s="35"/>
      <c r="AB156" s="240"/>
      <c r="AC156" s="36"/>
      <c r="AD156" s="26" t="str">
        <f>IF(M156="", "Error: Task name cannot be empty.", "")</f>
        <v/>
      </c>
    </row>
    <row r="157" spans="1:30" s="15" customFormat="1" ht="1.5" hidden="1" customHeight="1" outlineLevel="2" x14ac:dyDescent="0.3">
      <c r="A157" s="93" t="s">
        <v>101</v>
      </c>
      <c r="B157" s="21"/>
      <c r="C157" s="84"/>
      <c r="D157" s="84"/>
      <c r="E157" s="84"/>
      <c r="F157" s="83"/>
      <c r="G157" s="32"/>
      <c r="H157" s="32"/>
      <c r="I157" s="32"/>
      <c r="J157" s="32"/>
      <c r="K157" s="32"/>
      <c r="L157" s="175">
        <f ca="1">L156</f>
        <v>12</v>
      </c>
      <c r="M157" s="176" t="s">
        <v>105</v>
      </c>
      <c r="N157" s="173"/>
      <c r="O157" s="174"/>
      <c r="P157" s="33"/>
      <c r="Q157" s="33"/>
      <c r="R157" s="33"/>
      <c r="S157" s="33"/>
      <c r="T157" s="167"/>
      <c r="U157" s="33"/>
      <c r="V157" s="33"/>
      <c r="W157" s="33"/>
      <c r="X157" s="34"/>
      <c r="Y157" s="35"/>
      <c r="Z157" s="35"/>
      <c r="AA157" s="35"/>
      <c r="AB157" s="36"/>
      <c r="AC157" s="36"/>
      <c r="AD157" s="26"/>
    </row>
    <row r="158" spans="1:30" ht="43.2" hidden="1" outlineLevel="2" x14ac:dyDescent="0.3">
      <c r="A158" s="93" t="s">
        <v>0</v>
      </c>
      <c r="B158" s="21"/>
      <c r="C158" s="85"/>
      <c r="D158" s="85"/>
      <c r="E158" s="85"/>
      <c r="F158" s="86"/>
      <c r="G158" s="22" t="s">
        <v>23</v>
      </c>
      <c r="H158" s="22" t="s">
        <v>23</v>
      </c>
      <c r="I158" s="23" t="s">
        <v>23</v>
      </c>
      <c r="J158" s="22" t="s">
        <v>23</v>
      </c>
      <c r="K158" s="38"/>
      <c r="L158" s="22"/>
      <c r="M158" s="286" t="str">
        <f ca="1">IFERROR(OFFSET(M158,-1,,1,1)+0.1,OFFSET(M158,-1,-1,1,1)&amp;".1")</f>
        <v>12.1</v>
      </c>
      <c r="N158" s="23" t="s">
        <v>496</v>
      </c>
      <c r="O158" s="23"/>
      <c r="P158" s="23"/>
      <c r="Q158" s="144"/>
      <c r="R158" s="137"/>
      <c r="S158" s="169">
        <f>CEILING((IF(J158="Yes", 0, IF(H158="-",AA158,AA158+AA158*VLOOKUP(H158,BUFFERS_BY_TYPE,2,FALSE)))) +
   (IF(J158="Yes", 0, IF(H158="-",AA158,AA158+AA158*VLOOKUP(H158,BUFFERS_BY_TYPE,2,FALSE))))*VLOOKUP($S$5, SALES_CALL_SCALE_ARRAY, 2,FALSE),0.25)</f>
        <v>0</v>
      </c>
      <c r="T158" s="170"/>
      <c r="U158" s="24">
        <v>0</v>
      </c>
      <c r="V158" s="24">
        <v>1</v>
      </c>
      <c r="W158" s="24">
        <v>0</v>
      </c>
      <c r="X158" s="168"/>
      <c r="Y158" s="169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0</v>
      </c>
      <c r="Z158" s="25"/>
      <c r="AA158" s="169">
        <f>Y158+Y158*VLOOKUP(I158,EXTRAS_ARRAY,2,FALSE)</f>
        <v>0</v>
      </c>
      <c r="AB158" s="23"/>
      <c r="AC158" s="37"/>
      <c r="AD158" s="26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>Error: Effort value is not defined or is invalid.</v>
      </c>
    </row>
    <row r="159" spans="1:30" ht="57.6" hidden="1" outlineLevel="2" x14ac:dyDescent="0.3">
      <c r="A159" s="93" t="s">
        <v>0</v>
      </c>
      <c r="B159" s="21"/>
      <c r="C159" s="85"/>
      <c r="D159" s="85"/>
      <c r="E159" s="85"/>
      <c r="F159" s="86"/>
      <c r="G159" s="22" t="s">
        <v>23</v>
      </c>
      <c r="H159" s="22" t="s">
        <v>23</v>
      </c>
      <c r="I159" s="23" t="s">
        <v>23</v>
      </c>
      <c r="J159" s="22" t="s">
        <v>23</v>
      </c>
      <c r="K159" s="38"/>
      <c r="L159" s="22"/>
      <c r="M159" s="286">
        <f ca="1">IFERROR(OFFSET(M159,-1,,1,1)+0.1,OFFSET(M159,-1,-1,1,1)&amp;".1")</f>
        <v>12.2</v>
      </c>
      <c r="N159" s="23" t="s">
        <v>442</v>
      </c>
      <c r="O159" s="23"/>
      <c r="P159" s="23"/>
      <c r="Q159" s="144"/>
      <c r="R159" s="137"/>
      <c r="S159" s="169">
        <f>CEILING((IF(J159="Yes", 0, IF(H159="-",AA159,AA159+AA159*VLOOKUP(H159,BUFFERS_BY_TYPE,2,FALSE)))) +
   (IF(J159="Yes", 0, IF(H159="-",AA159,AA159+AA159*VLOOKUP(H159,BUFFERS_BY_TYPE,2,FALSE))))*VLOOKUP($S$5, SALES_CALL_SCALE_ARRAY, 2,FALSE),0.25)</f>
        <v>0</v>
      </c>
      <c r="T159" s="170"/>
      <c r="U159" s="24">
        <v>0</v>
      </c>
      <c r="V159" s="24">
        <v>1</v>
      </c>
      <c r="W159" s="24">
        <v>0</v>
      </c>
      <c r="X159" s="168"/>
      <c r="Y159" s="169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0</v>
      </c>
      <c r="Z159" s="25"/>
      <c r="AA159" s="169">
        <f>Y159+Y159*VLOOKUP(I159,EXTRAS_ARRAY,2,FALSE)</f>
        <v>0</v>
      </c>
      <c r="AB159" s="23"/>
      <c r="AC159" s="37"/>
      <c r="AD159" s="26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>Error: Effort value is not defined or is invalid.</v>
      </c>
    </row>
    <row r="160" spans="1:30" s="11" customFormat="1" ht="7.5" hidden="1" customHeight="1" outlineLevel="2" x14ac:dyDescent="0.3">
      <c r="A160" s="93" t="s">
        <v>132</v>
      </c>
      <c r="B160" s="18"/>
      <c r="C160" s="78"/>
      <c r="D160" s="78"/>
      <c r="E160" s="78"/>
      <c r="F160" s="78"/>
      <c r="G160" s="10"/>
      <c r="H160" s="10"/>
      <c r="I160" s="10"/>
      <c r="J160" s="10"/>
      <c r="K160" s="10"/>
      <c r="L160" s="10"/>
      <c r="M160" s="287"/>
      <c r="N160" s="10"/>
      <c r="O160" s="10"/>
      <c r="P160" s="10"/>
      <c r="Q160" s="10"/>
      <c r="R160" s="10"/>
      <c r="S160" s="10"/>
      <c r="T160" s="18"/>
      <c r="U160" s="10"/>
      <c r="V160" s="10"/>
      <c r="W160" s="10"/>
      <c r="X160" s="18"/>
      <c r="Y160" s="10"/>
      <c r="Z160" s="10"/>
      <c r="AA160" s="10"/>
      <c r="AB160" s="60"/>
      <c r="AC160" s="60"/>
      <c r="AD160" s="12"/>
    </row>
    <row r="161" spans="1:30" s="17" customFormat="1" ht="15.6" outlineLevel="1" collapsed="1" x14ac:dyDescent="0.3">
      <c r="A161" s="93" t="s">
        <v>100</v>
      </c>
      <c r="B161" s="21"/>
      <c r="C161" s="84"/>
      <c r="D161" s="84"/>
      <c r="E161" s="84"/>
      <c r="F161" s="83"/>
      <c r="G161" s="32"/>
      <c r="H161" s="32"/>
      <c r="I161" s="32"/>
      <c r="J161" s="32"/>
      <c r="K161" s="32"/>
      <c r="L161" s="20">
        <f ca="1">LOOKUP(1000,INDIRECT("L1:"&amp;CELL("address",INDIRECT("R[-1]C",FALSE))))+1</f>
        <v>13</v>
      </c>
      <c r="M161" s="301" t="s">
        <v>452</v>
      </c>
      <c r="N161" s="301"/>
      <c r="O161" s="5"/>
      <c r="P161" s="33"/>
      <c r="Q161" s="33"/>
      <c r="R161" s="33"/>
      <c r="S161" s="33"/>
      <c r="T161" s="167">
        <f>IF($S$6="Exclude", SUMIFS(S162:S164, J162:J164, "&lt;&gt;Yes", G162:G164, "&lt;&gt;Yes"), SUMIFS(S162:S164, J162:J164, "&lt;&gt;Yes"))</f>
        <v>0</v>
      </c>
      <c r="U161" s="33"/>
      <c r="V161" s="33"/>
      <c r="W161" s="33"/>
      <c r="X161" s="34"/>
      <c r="Y161" s="35"/>
      <c r="Z161" s="35"/>
      <c r="AA161" s="35"/>
      <c r="AB161" s="240"/>
      <c r="AC161" s="36"/>
      <c r="AD161" s="26" t="str">
        <f>IF(M161="", "Error: Task name cannot be empty.", "")</f>
        <v/>
      </c>
    </row>
    <row r="162" spans="1:30" s="15" customFormat="1" ht="1.5" hidden="1" customHeight="1" outlineLevel="2" x14ac:dyDescent="0.3">
      <c r="A162" s="93" t="s">
        <v>101</v>
      </c>
      <c r="B162" s="21"/>
      <c r="C162" s="84"/>
      <c r="D162" s="84"/>
      <c r="E162" s="84"/>
      <c r="F162" s="83"/>
      <c r="G162" s="32"/>
      <c r="H162" s="32"/>
      <c r="I162" s="32"/>
      <c r="J162" s="32"/>
      <c r="K162" s="32"/>
      <c r="L162" s="175">
        <f ca="1">L161</f>
        <v>13</v>
      </c>
      <c r="M162" s="176" t="s">
        <v>105</v>
      </c>
      <c r="N162" s="173"/>
      <c r="O162" s="174"/>
      <c r="P162" s="33"/>
      <c r="Q162" s="33"/>
      <c r="R162" s="33"/>
      <c r="S162" s="33"/>
      <c r="T162" s="167"/>
      <c r="U162" s="33"/>
      <c r="V162" s="33"/>
      <c r="W162" s="33"/>
      <c r="X162" s="34"/>
      <c r="Y162" s="35"/>
      <c r="Z162" s="35"/>
      <c r="AA162" s="35"/>
      <c r="AB162" s="36"/>
      <c r="AC162" s="36"/>
      <c r="AD162" s="26"/>
    </row>
    <row r="163" spans="1:30" ht="43.2" hidden="1" outlineLevel="2" x14ac:dyDescent="0.3">
      <c r="A163" s="93" t="s">
        <v>0</v>
      </c>
      <c r="B163" s="21"/>
      <c r="C163" s="85"/>
      <c r="D163" s="85"/>
      <c r="E163" s="85"/>
      <c r="F163" s="86"/>
      <c r="G163" s="22" t="s">
        <v>23</v>
      </c>
      <c r="H163" s="22" t="s">
        <v>23</v>
      </c>
      <c r="I163" s="23" t="s">
        <v>23</v>
      </c>
      <c r="J163" s="22" t="s">
        <v>23</v>
      </c>
      <c r="K163" s="38"/>
      <c r="L163" s="22"/>
      <c r="M163" s="286" t="str">
        <f ca="1">IFERROR(OFFSET(M163,-1,,1,1)+0.1,OFFSET(M163,-1,-1,1,1)&amp;".1")</f>
        <v>13.1</v>
      </c>
      <c r="N163" s="23" t="s">
        <v>495</v>
      </c>
      <c r="O163" s="23"/>
      <c r="P163" s="23"/>
      <c r="Q163" s="144"/>
      <c r="R163" s="137"/>
      <c r="S163" s="169">
        <f>CEILING((IF(J163="Yes", 0, IF(H163="-",AA163,AA163+AA163*VLOOKUP(H163,BUFFERS_BY_TYPE,2,FALSE)))) +
   (IF(J163="Yes", 0, IF(H163="-",AA163,AA163+AA163*VLOOKUP(H163,BUFFERS_BY_TYPE,2,FALSE))))*VLOOKUP($S$5, SALES_CALL_SCALE_ARRAY, 2,FALSE),0.25)</f>
        <v>0</v>
      </c>
      <c r="T163" s="170"/>
      <c r="U163" s="24">
        <v>0</v>
      </c>
      <c r="V163" s="24">
        <v>1</v>
      </c>
      <c r="W163" s="24">
        <v>0</v>
      </c>
      <c r="X163" s="168"/>
      <c r="Y163" s="169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0</v>
      </c>
      <c r="Z163" s="25"/>
      <c r="AA163" s="169">
        <f>Y163+Y163*VLOOKUP(I163,EXTRAS_ARRAY,2,FALSE)</f>
        <v>0</v>
      </c>
      <c r="AB163" s="23"/>
      <c r="AC163" s="37"/>
      <c r="AD163" s="26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>Error: Effort value is not defined or is invalid.</v>
      </c>
    </row>
    <row r="164" spans="1:30" s="11" customFormat="1" ht="7.5" hidden="1" customHeight="1" outlineLevel="2" x14ac:dyDescent="0.3">
      <c r="A164" s="93" t="s">
        <v>132</v>
      </c>
      <c r="B164" s="18"/>
      <c r="C164" s="78"/>
      <c r="D164" s="78"/>
      <c r="E164" s="78"/>
      <c r="F164" s="78"/>
      <c r="G164" s="10"/>
      <c r="H164" s="10"/>
      <c r="I164" s="10"/>
      <c r="J164" s="10"/>
      <c r="K164" s="10"/>
      <c r="L164" s="10"/>
      <c r="M164" s="287"/>
      <c r="N164" s="10"/>
      <c r="O164" s="10"/>
      <c r="P164" s="10"/>
      <c r="Q164" s="10"/>
      <c r="R164" s="10"/>
      <c r="S164" s="10"/>
      <c r="T164" s="18"/>
      <c r="U164" s="10"/>
      <c r="V164" s="10"/>
      <c r="W164" s="10"/>
      <c r="X164" s="18"/>
      <c r="Y164" s="10"/>
      <c r="Z164" s="10"/>
      <c r="AA164" s="10"/>
      <c r="AB164" s="60"/>
      <c r="AC164" s="60"/>
      <c r="AD164" s="12"/>
    </row>
    <row r="165" spans="1:30" s="17" customFormat="1" ht="15.6" outlineLevel="1" x14ac:dyDescent="0.3">
      <c r="A165" s="93" t="s">
        <v>107</v>
      </c>
      <c r="B165" s="21"/>
      <c r="C165" s="84"/>
      <c r="D165" s="84"/>
      <c r="E165" s="84"/>
      <c r="F165" s="83"/>
      <c r="G165" s="185"/>
      <c r="H165" s="185"/>
      <c r="I165" s="185"/>
      <c r="J165" s="185"/>
      <c r="K165" s="185"/>
      <c r="L165" s="92" t="s">
        <v>109</v>
      </c>
      <c r="M165" s="299" t="s">
        <v>511</v>
      </c>
      <c r="N165" s="299"/>
      <c r="O165" s="87"/>
      <c r="P165" s="88"/>
      <c r="Q165" s="88"/>
      <c r="R165" s="88"/>
      <c r="S165" s="300">
        <f>SUMGROUP(ROW(), "T")</f>
        <v>0</v>
      </c>
      <c r="T165" s="300"/>
      <c r="U165" s="298"/>
      <c r="V165" s="298"/>
      <c r="W165" s="298"/>
      <c r="X165" s="89"/>
      <c r="Y165" s="90"/>
      <c r="Z165" s="90"/>
      <c r="AA165" s="90"/>
      <c r="AB165" s="243"/>
      <c r="AC165" s="91"/>
      <c r="AD165" s="26" t="str">
        <f>IF(M165="", "Error: Module name cannot be empty.", "")</f>
        <v/>
      </c>
    </row>
    <row r="166" spans="1:30" s="17" customFormat="1" ht="15.6" outlineLevel="1" collapsed="1" x14ac:dyDescent="0.3">
      <c r="A166" s="93" t="s">
        <v>100</v>
      </c>
      <c r="B166" s="21"/>
      <c r="C166" s="84"/>
      <c r="D166" s="84"/>
      <c r="E166" s="84"/>
      <c r="F166" s="83"/>
      <c r="G166" s="32"/>
      <c r="H166" s="32"/>
      <c r="I166" s="32"/>
      <c r="J166" s="32"/>
      <c r="K166" s="32"/>
      <c r="L166" s="20">
        <f ca="1">LOOKUP(1000,INDIRECT("L1:"&amp;CELL("address",INDIRECT("R[-1]C",FALSE))))+1</f>
        <v>14</v>
      </c>
      <c r="M166" s="301" t="s">
        <v>511</v>
      </c>
      <c r="N166" s="301"/>
      <c r="O166" s="5"/>
      <c r="P166" s="33"/>
      <c r="Q166" s="33"/>
      <c r="R166" s="33"/>
      <c r="S166" s="33"/>
      <c r="T166" s="167">
        <f>IF($S$6="Exclude", SUMIFS(S167:S170, J167:J170, "&lt;&gt;Yes", G167:G170, "&lt;&gt;Yes"), SUMIFS(S167:S170, J167:J170, "&lt;&gt;Yes"))</f>
        <v>0</v>
      </c>
      <c r="U166" s="33"/>
      <c r="V166" s="33"/>
      <c r="W166" s="33"/>
      <c r="X166" s="34"/>
      <c r="Y166" s="35"/>
      <c r="Z166" s="35"/>
      <c r="AA166" s="35"/>
      <c r="AB166" s="240"/>
      <c r="AC166" s="36"/>
      <c r="AD166" s="26" t="str">
        <f>IF(M166="", "Error: Task name cannot be empty.", "")</f>
        <v/>
      </c>
    </row>
    <row r="167" spans="1:30" s="15" customFormat="1" ht="1.5" hidden="1" customHeight="1" outlineLevel="2" x14ac:dyDescent="0.3">
      <c r="A167" s="93" t="s">
        <v>101</v>
      </c>
      <c r="B167" s="21"/>
      <c r="C167" s="84"/>
      <c r="D167" s="84"/>
      <c r="E167" s="84"/>
      <c r="F167" s="83"/>
      <c r="G167" s="32"/>
      <c r="H167" s="32"/>
      <c r="I167" s="32"/>
      <c r="J167" s="32"/>
      <c r="K167" s="32"/>
      <c r="L167" s="175">
        <f ca="1">L166</f>
        <v>14</v>
      </c>
      <c r="M167" s="176" t="s">
        <v>105</v>
      </c>
      <c r="N167" s="173"/>
      <c r="O167" s="174"/>
      <c r="P167" s="33"/>
      <c r="Q167" s="33"/>
      <c r="R167" s="33"/>
      <c r="S167" s="33"/>
      <c r="T167" s="167"/>
      <c r="U167" s="33"/>
      <c r="V167" s="33"/>
      <c r="W167" s="33"/>
      <c r="X167" s="34"/>
      <c r="Y167" s="35"/>
      <c r="Z167" s="35"/>
      <c r="AA167" s="35"/>
      <c r="AB167" s="36"/>
      <c r="AC167" s="36"/>
      <c r="AD167" s="26"/>
    </row>
    <row r="168" spans="1:30" ht="43.2" hidden="1" outlineLevel="2" x14ac:dyDescent="0.3">
      <c r="A168" s="93" t="s">
        <v>0</v>
      </c>
      <c r="B168" s="21"/>
      <c r="C168" s="85"/>
      <c r="D168" s="85"/>
      <c r="E168" s="85"/>
      <c r="F168" s="86"/>
      <c r="G168" s="22" t="s">
        <v>23</v>
      </c>
      <c r="H168" s="22" t="s">
        <v>23</v>
      </c>
      <c r="I168" s="23" t="s">
        <v>23</v>
      </c>
      <c r="J168" s="22" t="s">
        <v>23</v>
      </c>
      <c r="K168" s="38"/>
      <c r="L168" s="22"/>
      <c r="M168" s="286" t="str">
        <f ca="1">IFERROR(OFFSET(M168,-1,,1,1)+0.1,OFFSET(M168,-1,-1,1,1)&amp;".1")</f>
        <v>14.1</v>
      </c>
      <c r="N168" s="23" t="s">
        <v>512</v>
      </c>
      <c r="O168" s="23"/>
      <c r="P168" s="23"/>
      <c r="Q168" s="144"/>
      <c r="R168" s="137"/>
      <c r="S168" s="169">
        <f>CEILING((IF(J168="Yes", 0, IF(H168="-",AA168,AA168+AA168*VLOOKUP(H168,BUFFERS_BY_TYPE,2,FALSE)))) +
   (IF(J168="Yes", 0, IF(H168="-",AA168,AA168+AA168*VLOOKUP(H168,BUFFERS_BY_TYPE,2,FALSE))))*VLOOKUP($S$5, SALES_CALL_SCALE_ARRAY, 2,FALSE),0.25)</f>
        <v>0</v>
      </c>
      <c r="T168" s="170"/>
      <c r="U168" s="24">
        <v>0</v>
      </c>
      <c r="V168" s="24">
        <v>1</v>
      </c>
      <c r="W168" s="24">
        <v>0</v>
      </c>
      <c r="X168" s="168"/>
      <c r="Y168" s="169">
        <f>CEILING((IF(P168=AS_DEV_EFFORT, DEV_EFFORT*Q168%,
                           IF(P168=AS_DURATION_EFFORT, (MANUAL_DURATION*5)*Q168%,
                                    (IF(Q168&lt;=1,X168,
                                          IF(SUM(U168:W168)=0,(Q168*X168),
                                               (((Q168*U168)*(X168+(X168*EXTRA_FOR_H)))+
                                               ((Q168*V168)*X168)+
                                               ((Q168*W168)*(X168-(X168*LESS_FOR_L)))
                                    )*IF(R168=0,1,R168))))))+Z168), 0.25)</f>
        <v>0</v>
      </c>
      <c r="Z168" s="25"/>
      <c r="AA168" s="169">
        <f>Y168+Y168*VLOOKUP(I168,EXTRAS_ARRAY,2,FALSE)</f>
        <v>0</v>
      </c>
      <c r="AB168" s="23"/>
      <c r="AC168" s="37"/>
      <c r="AD168" s="26" t="str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>Error: Effort value is not defined or is invalid.</v>
      </c>
    </row>
    <row r="169" spans="1:30" ht="43.2" hidden="1" outlineLevel="2" x14ac:dyDescent="0.3">
      <c r="A169" s="93" t="s">
        <v>0</v>
      </c>
      <c r="B169" s="21"/>
      <c r="C169" s="85"/>
      <c r="D169" s="85"/>
      <c r="E169" s="85"/>
      <c r="F169" s="86"/>
      <c r="G169" s="22" t="s">
        <v>23</v>
      </c>
      <c r="H169" s="22" t="s">
        <v>23</v>
      </c>
      <c r="I169" s="23" t="s">
        <v>23</v>
      </c>
      <c r="J169" s="22" t="s">
        <v>23</v>
      </c>
      <c r="K169" s="38" t="s">
        <v>571</v>
      </c>
      <c r="L169" s="22"/>
      <c r="M169" s="286">
        <f ca="1">IFERROR(OFFSET(M169,-1,,1,1)+0.1,OFFSET(M169,-1,-1,1,1)&amp;".1")</f>
        <v>14.2</v>
      </c>
      <c r="N169" s="23" t="s">
        <v>513</v>
      </c>
      <c r="O169" s="23"/>
      <c r="P169" s="23"/>
      <c r="Q169" s="144"/>
      <c r="R169" s="137"/>
      <c r="S169" s="169">
        <f>CEILING((IF(J169="Yes", 0, IF(H169="-",AA169,AA169+AA169*VLOOKUP(H169,BUFFERS_BY_TYPE,2,FALSE)))) +
   (IF(J169="Yes", 0, IF(H169="-",AA169,AA169+AA169*VLOOKUP(H169,BUFFERS_BY_TYPE,2,FALSE))))*VLOOKUP($S$5, SALES_CALL_SCALE_ARRAY, 2,FALSE),0.25)</f>
        <v>0</v>
      </c>
      <c r="T169" s="170"/>
      <c r="U169" s="24">
        <v>0</v>
      </c>
      <c r="V169" s="24">
        <v>1</v>
      </c>
      <c r="W169" s="24">
        <v>0</v>
      </c>
      <c r="X169" s="168"/>
      <c r="Y169" s="169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0</v>
      </c>
      <c r="Z169" s="25"/>
      <c r="AA169" s="169">
        <f>Y169+Y169*VLOOKUP(I169,EXTRAS_ARRAY,2,FALSE)</f>
        <v>0</v>
      </c>
      <c r="AB169" s="23"/>
      <c r="AC169" s="37"/>
      <c r="AD169" s="26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>Error: Effort value is not defined or is invalid.</v>
      </c>
    </row>
    <row r="170" spans="1:30" s="11" customFormat="1" ht="7.5" hidden="1" customHeight="1" outlineLevel="2" x14ac:dyDescent="0.3">
      <c r="A170" s="93" t="s">
        <v>132</v>
      </c>
      <c r="B170" s="18"/>
      <c r="C170" s="78"/>
      <c r="D170" s="78"/>
      <c r="E170" s="78"/>
      <c r="F170" s="78"/>
      <c r="G170" s="10"/>
      <c r="H170" s="10"/>
      <c r="I170" s="10"/>
      <c r="J170" s="10"/>
      <c r="K170" s="10"/>
      <c r="L170" s="10"/>
      <c r="M170" s="287"/>
      <c r="N170" s="10"/>
      <c r="O170" s="10"/>
      <c r="P170" s="10"/>
      <c r="Q170" s="10"/>
      <c r="R170" s="10"/>
      <c r="S170" s="10"/>
      <c r="T170" s="18"/>
      <c r="U170" s="10"/>
      <c r="V170" s="10"/>
      <c r="W170" s="10"/>
      <c r="X170" s="18"/>
      <c r="Y170" s="10"/>
      <c r="Z170" s="10"/>
      <c r="AA170" s="10"/>
      <c r="AB170" s="60"/>
      <c r="AC170" s="60"/>
      <c r="AD170" s="12"/>
    </row>
    <row r="171" spans="1:30" s="11" customFormat="1" ht="3" customHeight="1" outlineLevel="1" x14ac:dyDescent="0.3">
      <c r="A171" s="93" t="s">
        <v>102</v>
      </c>
      <c r="B171" s="10"/>
      <c r="C171" s="78"/>
      <c r="D171" s="78"/>
      <c r="E171" s="78"/>
      <c r="F171" s="78"/>
      <c r="G171" s="59"/>
      <c r="H171" s="59"/>
      <c r="I171" s="59"/>
      <c r="J171" s="59"/>
      <c r="K171" s="59"/>
      <c r="L171" s="61"/>
      <c r="M171" s="288"/>
      <c r="N171" s="62"/>
      <c r="O171" s="62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2"/>
      <c r="AC171" s="62"/>
      <c r="AD171" s="12"/>
    </row>
    <row r="172" spans="1:30" s="17" customFormat="1" ht="18" collapsed="1" x14ac:dyDescent="0.3">
      <c r="A172" s="93" t="s">
        <v>98</v>
      </c>
      <c r="B172" s="14"/>
      <c r="C172" s="79"/>
      <c r="D172" s="79"/>
      <c r="E172" s="79"/>
      <c r="F172" s="78"/>
      <c r="G172" s="55"/>
      <c r="H172" s="55"/>
      <c r="I172" s="55"/>
      <c r="J172" s="55"/>
      <c r="K172" s="55"/>
      <c r="L172" s="55" t="s">
        <v>70</v>
      </c>
      <c r="M172" s="284" t="s">
        <v>74</v>
      </c>
      <c r="N172" s="56"/>
      <c r="O172" s="57"/>
      <c r="P172" s="58"/>
      <c r="Q172" s="58"/>
      <c r="R172" s="58"/>
      <c r="S172" s="302">
        <f>CEILING(SUMIF(J173:J209, "&lt;&gt;Yes", T173:T209),1)</f>
        <v>50</v>
      </c>
      <c r="T172" s="302"/>
      <c r="U172" s="58"/>
      <c r="V172" s="58"/>
      <c r="W172" s="58"/>
      <c r="X172" s="58"/>
      <c r="Y172" s="58"/>
      <c r="Z172" s="58"/>
      <c r="AA172" s="58"/>
      <c r="AB172" s="58"/>
      <c r="AC172" s="58"/>
      <c r="AD172" s="16"/>
    </row>
    <row r="173" spans="1:30" s="11" customFormat="1" ht="3" hidden="1" customHeight="1" outlineLevel="1" x14ac:dyDescent="0.3">
      <c r="A173" s="93" t="s">
        <v>99</v>
      </c>
      <c r="B173" s="18"/>
      <c r="C173" s="78"/>
      <c r="D173" s="78"/>
      <c r="E173" s="78"/>
      <c r="F173" s="78"/>
      <c r="G173" s="28"/>
      <c r="H173" s="28"/>
      <c r="I173" s="28"/>
      <c r="J173" s="28"/>
      <c r="K173" s="28"/>
      <c r="L173" s="29">
        <v>0</v>
      </c>
      <c r="M173" s="285"/>
      <c r="N173" s="28"/>
      <c r="O173" s="28"/>
      <c r="P173" s="28"/>
      <c r="Q173" s="28"/>
      <c r="R173" s="28"/>
      <c r="S173" s="28"/>
      <c r="T173" s="30"/>
      <c r="U173" s="28"/>
      <c r="V173" s="28"/>
      <c r="W173" s="28"/>
      <c r="X173" s="30"/>
      <c r="Y173" s="28"/>
      <c r="Z173" s="28"/>
      <c r="AA173" s="28"/>
      <c r="AB173" s="31"/>
      <c r="AC173" s="31"/>
      <c r="AD173" s="12"/>
    </row>
    <row r="174" spans="1:30" s="17" customFormat="1" ht="15.6" hidden="1" outlineLevel="1" x14ac:dyDescent="0.3">
      <c r="A174" s="93" t="s">
        <v>107</v>
      </c>
      <c r="B174" s="21"/>
      <c r="C174" s="84"/>
      <c r="D174" s="84"/>
      <c r="E174" s="84"/>
      <c r="F174" s="83"/>
      <c r="G174" s="185"/>
      <c r="H174" s="185"/>
      <c r="I174" s="185"/>
      <c r="J174" s="185"/>
      <c r="K174" s="185"/>
      <c r="L174" s="92" t="s">
        <v>109</v>
      </c>
      <c r="M174" s="299" t="s">
        <v>572</v>
      </c>
      <c r="N174" s="299"/>
      <c r="O174" s="87"/>
      <c r="P174" s="88"/>
      <c r="Q174" s="88"/>
      <c r="R174" s="88"/>
      <c r="S174" s="300">
        <f>SUMGROUP(ROW(), "T")</f>
        <v>0</v>
      </c>
      <c r="T174" s="300"/>
      <c r="U174" s="298"/>
      <c r="V174" s="298"/>
      <c r="W174" s="298"/>
      <c r="X174" s="89"/>
      <c r="Y174" s="90"/>
      <c r="Z174" s="90"/>
      <c r="AA174" s="90"/>
      <c r="AB174" s="243"/>
      <c r="AC174" s="91"/>
      <c r="AD174" s="26" t="str">
        <f>IF(M174="", "Error: Module name cannot be empty.", "")</f>
        <v/>
      </c>
    </row>
    <row r="175" spans="1:30" s="17" customFormat="1" ht="15.6" hidden="1" outlineLevel="1" collapsed="1" x14ac:dyDescent="0.3">
      <c r="A175" s="93" t="s">
        <v>100</v>
      </c>
      <c r="B175" s="21"/>
      <c r="C175" s="84"/>
      <c r="D175" s="84"/>
      <c r="E175" s="84"/>
      <c r="F175" s="83"/>
      <c r="G175" s="32"/>
      <c r="H175" s="32"/>
      <c r="I175" s="32"/>
      <c r="J175" s="32"/>
      <c r="K175" s="32"/>
      <c r="L175" s="20">
        <f ca="1">LOOKUP(1000,INDIRECT("L1:"&amp;CELL("address",INDIRECT("R[-1]C",FALSE))))+1</f>
        <v>1</v>
      </c>
      <c r="M175" s="301" t="s">
        <v>573</v>
      </c>
      <c r="N175" s="301"/>
      <c r="O175" s="5"/>
      <c r="P175" s="33"/>
      <c r="Q175" s="33"/>
      <c r="R175" s="33"/>
      <c r="S175" s="33"/>
      <c r="T175" s="167">
        <f>IF($S$6="Exclude", SUMIFS(S176:S179, J176:J179, "&lt;&gt;Yes", G176:G179, "&lt;&gt;Yes"), SUMIFS(S176:S179, J176:J179, "&lt;&gt;Yes"))</f>
        <v>0</v>
      </c>
      <c r="U175" s="33"/>
      <c r="V175" s="33"/>
      <c r="W175" s="33"/>
      <c r="X175" s="34"/>
      <c r="Y175" s="35"/>
      <c r="Z175" s="35"/>
      <c r="AA175" s="35"/>
      <c r="AB175" s="240"/>
      <c r="AC175" s="36"/>
      <c r="AD175" s="26" t="str">
        <f>IF(M175="", "Error: Task name cannot be empty.", "")</f>
        <v/>
      </c>
    </row>
    <row r="176" spans="1:30" s="15" customFormat="1" ht="1.5" hidden="1" customHeight="1" outlineLevel="2" x14ac:dyDescent="0.3">
      <c r="A176" s="93" t="s">
        <v>101</v>
      </c>
      <c r="B176" s="21"/>
      <c r="C176" s="84"/>
      <c r="D176" s="84"/>
      <c r="E176" s="84"/>
      <c r="F176" s="83"/>
      <c r="G176" s="32"/>
      <c r="H176" s="32"/>
      <c r="I176" s="32"/>
      <c r="J176" s="32"/>
      <c r="K176" s="32"/>
      <c r="L176" s="175">
        <f ca="1">L175</f>
        <v>1</v>
      </c>
      <c r="M176" s="176" t="s">
        <v>105</v>
      </c>
      <c r="N176" s="173"/>
      <c r="O176" s="174"/>
      <c r="P176" s="33"/>
      <c r="Q176" s="33"/>
      <c r="R176" s="33"/>
      <c r="S176" s="33"/>
      <c r="T176" s="167"/>
      <c r="U176" s="33"/>
      <c r="V176" s="33"/>
      <c r="W176" s="33"/>
      <c r="X176" s="34"/>
      <c r="Y176" s="35"/>
      <c r="Z176" s="35"/>
      <c r="AA176" s="35"/>
      <c r="AB176" s="36"/>
      <c r="AC176" s="36"/>
      <c r="AD176" s="26"/>
    </row>
    <row r="177" spans="1:30" ht="43.2" hidden="1" outlineLevel="2" x14ac:dyDescent="0.3">
      <c r="A177" s="93" t="s">
        <v>0</v>
      </c>
      <c r="B177" s="21"/>
      <c r="C177" s="85"/>
      <c r="D177" s="85"/>
      <c r="E177" s="85"/>
      <c r="F177" s="86"/>
      <c r="G177" s="22" t="s">
        <v>23</v>
      </c>
      <c r="H177" s="22" t="s">
        <v>23</v>
      </c>
      <c r="I177" s="23" t="s">
        <v>23</v>
      </c>
      <c r="J177" s="22" t="s">
        <v>23</v>
      </c>
      <c r="K177" s="38"/>
      <c r="L177" s="22"/>
      <c r="M177" s="286" t="str">
        <f ca="1">IFERROR(OFFSET(M177,-1,,1,1)+0.1,OFFSET(M177,-1,-1,1,1)&amp;".1")</f>
        <v>1.1</v>
      </c>
      <c r="N177" s="23" t="s">
        <v>574</v>
      </c>
      <c r="O177" s="23"/>
      <c r="P177" s="23"/>
      <c r="Q177" s="144"/>
      <c r="R177" s="137"/>
      <c r="S177" s="169">
        <f>CEILING((IF(J177="Yes", 0, IF(H177="-",AA177,AA177+AA177*VLOOKUP(H177,BUFFERS_BY_TYPE,2,FALSE)))) +
   (IF(J177="Yes", 0, IF(H177="-",AA177,AA177+AA177*VLOOKUP(H177,BUFFERS_BY_TYPE,2,FALSE))))*VLOOKUP($S$5, SALES_CALL_SCALE_ARRAY, 2,FALSE),0.25)</f>
        <v>0</v>
      </c>
      <c r="T177" s="170"/>
      <c r="U177" s="24">
        <v>0</v>
      </c>
      <c r="V177" s="24">
        <v>1</v>
      </c>
      <c r="W177" s="24">
        <v>0</v>
      </c>
      <c r="X177" s="168"/>
      <c r="Y177" s="169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0</v>
      </c>
      <c r="Z177" s="25"/>
      <c r="AA177" s="169">
        <f>Y177+Y177*VLOOKUP(I177,EXTRAS_ARRAY,2,FALSE)</f>
        <v>0</v>
      </c>
      <c r="AB177" s="23"/>
      <c r="AC177" s="37"/>
      <c r="AD177" s="26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>Error: Effort value is not defined or is invalid.</v>
      </c>
    </row>
    <row r="178" spans="1:30" ht="43.2" hidden="1" outlineLevel="2" x14ac:dyDescent="0.3">
      <c r="A178" s="93" t="s">
        <v>0</v>
      </c>
      <c r="B178" s="21"/>
      <c r="C178" s="85"/>
      <c r="D178" s="85"/>
      <c r="E178" s="85"/>
      <c r="F178" s="86"/>
      <c r="G178" s="22" t="s">
        <v>23</v>
      </c>
      <c r="H178" s="22" t="s">
        <v>23</v>
      </c>
      <c r="I178" s="23" t="s">
        <v>23</v>
      </c>
      <c r="J178" s="22" t="s">
        <v>23</v>
      </c>
      <c r="K178" s="38"/>
      <c r="L178" s="22"/>
      <c r="M178" s="286">
        <f ca="1">IFERROR(OFFSET(M178,-1,,1,1)+0.1,OFFSET(M178,-1,-1,1,1)&amp;".1")</f>
        <v>1.2000000000000002</v>
      </c>
      <c r="N178" s="23" t="s">
        <v>575</v>
      </c>
      <c r="O178" s="23"/>
      <c r="P178" s="23" t="s">
        <v>576</v>
      </c>
      <c r="Q178" s="144">
        <f>Total_Use_Cases</f>
        <v>210</v>
      </c>
      <c r="R178" s="137"/>
      <c r="S178" s="169">
        <f>CEILING((IF(J178="Yes", 0, IF(H178="-",AA178,AA178+AA178*VLOOKUP(H178,BUFFERS_BY_TYPE,2,FALSE)))) +
   (IF(J178="Yes", 0, IF(H178="-",AA178,AA178+AA178*VLOOKUP(H178,BUFFERS_BY_TYPE,2,FALSE))))*VLOOKUP($S$5, SALES_CALL_SCALE_ARRAY, 2,FALSE),0.25)</f>
        <v>0</v>
      </c>
      <c r="T178" s="170"/>
      <c r="U178" s="24">
        <v>0</v>
      </c>
      <c r="V178" s="24">
        <v>1</v>
      </c>
      <c r="W178" s="24">
        <v>0</v>
      </c>
      <c r="X178" s="168"/>
      <c r="Y178" s="169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0</v>
      </c>
      <c r="Z178" s="25"/>
      <c r="AA178" s="169">
        <f>Y178+Y178*VLOOKUP(I178,EXTRAS_ARRAY,2,FALSE)</f>
        <v>0</v>
      </c>
      <c r="AB178" s="23"/>
      <c r="AC178" s="37"/>
      <c r="AD178" s="26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>Error: Effort value is not defined or is invalid.</v>
      </c>
    </row>
    <row r="179" spans="1:30" s="11" customFormat="1" ht="7.5" hidden="1" customHeight="1" outlineLevel="2" x14ac:dyDescent="0.3">
      <c r="A179" s="93" t="s">
        <v>132</v>
      </c>
      <c r="B179" s="18"/>
      <c r="C179" s="78"/>
      <c r="D179" s="78"/>
      <c r="E179" s="78"/>
      <c r="F179" s="78"/>
      <c r="G179" s="10"/>
      <c r="H179" s="10"/>
      <c r="I179" s="10"/>
      <c r="J179" s="10"/>
      <c r="K179" s="10"/>
      <c r="L179" s="10"/>
      <c r="M179" s="287"/>
      <c r="N179" s="10"/>
      <c r="O179" s="10"/>
      <c r="P179" s="10"/>
      <c r="Q179" s="10"/>
      <c r="R179" s="10"/>
      <c r="S179" s="10"/>
      <c r="T179" s="18"/>
      <c r="U179" s="10"/>
      <c r="V179" s="10"/>
      <c r="W179" s="10"/>
      <c r="X179" s="18"/>
      <c r="Y179" s="10"/>
      <c r="Z179" s="10"/>
      <c r="AA179" s="10"/>
      <c r="AB179" s="60"/>
      <c r="AC179" s="60"/>
      <c r="AD179" s="12"/>
    </row>
    <row r="180" spans="1:30" s="17" customFormat="1" ht="15.6" hidden="1" outlineLevel="1" x14ac:dyDescent="0.3">
      <c r="A180" s="93" t="s">
        <v>107</v>
      </c>
      <c r="B180" s="21"/>
      <c r="C180" s="84"/>
      <c r="D180" s="84"/>
      <c r="E180" s="84"/>
      <c r="F180" s="83"/>
      <c r="G180" s="185"/>
      <c r="H180" s="185"/>
      <c r="I180" s="185"/>
      <c r="J180" s="185"/>
      <c r="K180" s="185"/>
      <c r="L180" s="92" t="s">
        <v>109</v>
      </c>
      <c r="M180" s="299" t="s">
        <v>577</v>
      </c>
      <c r="N180" s="299"/>
      <c r="O180" s="87"/>
      <c r="P180" s="88"/>
      <c r="Q180" s="88"/>
      <c r="R180" s="88"/>
      <c r="S180" s="300">
        <f>SUMGROUP(ROW(), "T")</f>
        <v>49.5</v>
      </c>
      <c r="T180" s="300"/>
      <c r="U180" s="298"/>
      <c r="V180" s="298"/>
      <c r="W180" s="298"/>
      <c r="X180" s="89"/>
      <c r="Y180" s="90"/>
      <c r="Z180" s="90"/>
      <c r="AA180" s="90"/>
      <c r="AB180" s="243"/>
      <c r="AC180" s="91"/>
      <c r="AD180" s="26" t="str">
        <f>IF(M180="", "Error: Module name cannot be empty.", "")</f>
        <v/>
      </c>
    </row>
    <row r="181" spans="1:30" s="17" customFormat="1" ht="15.6" hidden="1" outlineLevel="1" collapsed="1" x14ac:dyDescent="0.3">
      <c r="A181" s="93" t="s">
        <v>100</v>
      </c>
      <c r="B181" s="21"/>
      <c r="C181" s="84"/>
      <c r="D181" s="84"/>
      <c r="E181" s="84"/>
      <c r="F181" s="83"/>
      <c r="G181" s="32"/>
      <c r="H181" s="32"/>
      <c r="I181" s="32"/>
      <c r="J181" s="32"/>
      <c r="K181" s="32"/>
      <c r="L181" s="20">
        <f ca="1">LOOKUP(1000,INDIRECT("L1:"&amp;CELL("address",INDIRECT("R[-1]C",FALSE))))+1</f>
        <v>2</v>
      </c>
      <c r="M181" s="301" t="s">
        <v>468</v>
      </c>
      <c r="N181" s="301"/>
      <c r="O181" s="5"/>
      <c r="P181" s="33"/>
      <c r="Q181" s="33"/>
      <c r="R181" s="33"/>
      <c r="S181" s="33"/>
      <c r="T181" s="167">
        <f>IF($S$6="Exclude", SUMIFS(S182:S187, J182:J187, "&lt;&gt;Yes", G182:G187, "&lt;&gt;Yes"), SUMIFS(S182:S187, J182:J187, "&lt;&gt;Yes"))</f>
        <v>0</v>
      </c>
      <c r="U181" s="33"/>
      <c r="V181" s="33"/>
      <c r="W181" s="33"/>
      <c r="X181" s="34"/>
      <c r="Y181" s="35"/>
      <c r="Z181" s="35"/>
      <c r="AA181" s="35"/>
      <c r="AB181" s="240"/>
      <c r="AC181" s="36"/>
      <c r="AD181" s="26" t="str">
        <f>IF(M181="", "Error: Task name cannot be empty.", "")</f>
        <v/>
      </c>
    </row>
    <row r="182" spans="1:30" s="15" customFormat="1" ht="1.5" hidden="1" customHeight="1" outlineLevel="2" x14ac:dyDescent="0.3">
      <c r="A182" s="93" t="s">
        <v>101</v>
      </c>
      <c r="B182" s="21"/>
      <c r="C182" s="84"/>
      <c r="D182" s="84"/>
      <c r="E182" s="84"/>
      <c r="F182" s="83"/>
      <c r="G182" s="32"/>
      <c r="H182" s="32"/>
      <c r="I182" s="32"/>
      <c r="J182" s="32"/>
      <c r="K182" s="32"/>
      <c r="L182" s="175">
        <f ca="1">L181</f>
        <v>2</v>
      </c>
      <c r="M182" s="176" t="s">
        <v>105</v>
      </c>
      <c r="N182" s="173"/>
      <c r="O182" s="174"/>
      <c r="P182" s="33"/>
      <c r="Q182" s="33"/>
      <c r="R182" s="33"/>
      <c r="S182" s="33"/>
      <c r="T182" s="167"/>
      <c r="U182" s="33"/>
      <c r="V182" s="33"/>
      <c r="W182" s="33"/>
      <c r="X182" s="34"/>
      <c r="Y182" s="35"/>
      <c r="Z182" s="35"/>
      <c r="AA182" s="35"/>
      <c r="AB182" s="36"/>
      <c r="AC182" s="36"/>
      <c r="AD182" s="26"/>
    </row>
    <row r="183" spans="1:30" ht="43.2" hidden="1" outlineLevel="2" x14ac:dyDescent="0.3">
      <c r="A183" s="93" t="s">
        <v>0</v>
      </c>
      <c r="B183" s="21"/>
      <c r="C183" s="85"/>
      <c r="D183" s="85"/>
      <c r="E183" s="85"/>
      <c r="F183" s="86"/>
      <c r="G183" s="22" t="s">
        <v>23</v>
      </c>
      <c r="H183" s="22" t="s">
        <v>23</v>
      </c>
      <c r="I183" s="23" t="s">
        <v>23</v>
      </c>
      <c r="J183" s="22" t="s">
        <v>23</v>
      </c>
      <c r="K183" s="38"/>
      <c r="L183" s="22"/>
      <c r="M183" s="286" t="str">
        <f ca="1">IFERROR(OFFSET(M183,-1,,1,1)+0.1,OFFSET(M183,-1,-1,1,1)&amp;".1")</f>
        <v>2.1</v>
      </c>
      <c r="N183" s="23" t="s">
        <v>482</v>
      </c>
      <c r="O183" s="23"/>
      <c r="P183" s="23"/>
      <c r="Q183" s="144"/>
      <c r="R183" s="137"/>
      <c r="S183" s="169">
        <f>CEILING((IF(J183="Yes", 0, IF(H183="-",AA183,AA183+AA183*VLOOKUP(H183,BUFFERS_BY_TYPE,2,FALSE)))) +
   (IF(J183="Yes", 0, IF(H183="-",AA183,AA183+AA183*VLOOKUP(H183,BUFFERS_BY_TYPE,2,FALSE))))*VLOOKUP($S$5, SALES_CALL_SCALE_ARRAY, 2,FALSE),0.25)</f>
        <v>0</v>
      </c>
      <c r="T183" s="170"/>
      <c r="U183" s="24">
        <v>0</v>
      </c>
      <c r="V183" s="24">
        <v>1</v>
      </c>
      <c r="W183" s="24">
        <v>0</v>
      </c>
      <c r="X183" s="168"/>
      <c r="Y183" s="169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0</v>
      </c>
      <c r="Z183" s="25"/>
      <c r="AA183" s="169">
        <f>Y183+Y183*VLOOKUP(I183,EXTRAS_ARRAY,2,FALSE)</f>
        <v>0</v>
      </c>
      <c r="AB183" s="23"/>
      <c r="AC183" s="37"/>
      <c r="AD183" s="26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>Error: Effort value is not defined or is invalid.</v>
      </c>
    </row>
    <row r="184" spans="1:30" ht="86.4" hidden="1" outlineLevel="2" x14ac:dyDescent="0.3">
      <c r="A184" s="93" t="s">
        <v>0</v>
      </c>
      <c r="B184" s="21"/>
      <c r="C184" s="85"/>
      <c r="D184" s="85"/>
      <c r="E184" s="85"/>
      <c r="F184" s="86"/>
      <c r="G184" s="22" t="s">
        <v>23</v>
      </c>
      <c r="H184" s="22" t="s">
        <v>23</v>
      </c>
      <c r="I184" s="23" t="s">
        <v>23</v>
      </c>
      <c r="J184" s="22" t="s">
        <v>23</v>
      </c>
      <c r="K184" s="38" t="s">
        <v>486</v>
      </c>
      <c r="L184" s="22"/>
      <c r="M184" s="286">
        <f ca="1">IFERROR(OFFSET(M184,-1,,1,1)+0.1,OFFSET(M184,-1,-1,1,1)&amp;".1")</f>
        <v>2.2000000000000002</v>
      </c>
      <c r="N184" s="23" t="s">
        <v>483</v>
      </c>
      <c r="O184" s="23" t="s">
        <v>578</v>
      </c>
      <c r="P184" s="23">
        <f>Total_Use_Cases * R184</f>
        <v>1050</v>
      </c>
      <c r="Q184" s="144">
        <f>Total_Use_Cases</f>
        <v>210</v>
      </c>
      <c r="R184" s="137">
        <v>5</v>
      </c>
      <c r="S184" s="169">
        <f>CEILING((IF(J184="Yes", 0, IF(H184="-",AA184,AA184+AA184*VLOOKUP(H184,BUFFERS_BY_TYPE,2,FALSE)))) +
   (IF(J184="Yes", 0, IF(H184="-",AA184,AA184+AA184*VLOOKUP(H184,BUFFERS_BY_TYPE,2,FALSE))))*VLOOKUP($S$5, SALES_CALL_SCALE_ARRAY, 2,FALSE),0.25)</f>
        <v>0</v>
      </c>
      <c r="T184" s="170"/>
      <c r="U184" s="24">
        <v>0</v>
      </c>
      <c r="V184" s="24">
        <v>1</v>
      </c>
      <c r="W184" s="24">
        <v>0</v>
      </c>
      <c r="X184" s="168"/>
      <c r="Y184" s="169">
        <f>CEILING((IF(P184=AS_DEV_EFFORT, DEV_EFFORT*Q184%,
                           IF(P184=AS_DURATION_EFFORT, (MANUAL_DURATION*5)*Q184%,
                                    (IF(Q184&lt;=1,X184,
                                          IF(SUM(U184:W184)=0,(Q184*X184),
                                               (((Q184*U184)*(X184+(X184*EXTRA_FOR_H)))+
                                               ((Q184*V184)*X184)+
                                               ((Q184*W184)*(X184-(X184*LESS_FOR_L)))
                                    )*IF(R184=0,1,R184))))))+Z184), 0.25)</f>
        <v>0</v>
      </c>
      <c r="Z184" s="25"/>
      <c r="AA184" s="169">
        <f>Y184+Y184*VLOOKUP(I184,EXTRAS_ARRAY,2,FALSE)</f>
        <v>0</v>
      </c>
      <c r="AB184" s="23"/>
      <c r="AC184" s="37"/>
      <c r="AD184" s="26" t="str">
        <f>IF(J184&lt;&gt;"Yes",
IF(S184&lt;=0,"Error: Effort value is not defined or is invalid.",
IF(AND(SUM(U184:W184)&gt;0,SUM(U184:W184)&lt;&gt;1),"Error: Complexity % distribution should sum to 100%.",
IF(AND(P184=AS_DEV_EFFORT,X184&lt;&gt;0),"Error: PDs should not be defined when defining as dev effort %.",
IF(AND(P184=AS_DURATION_EFFORT,X184&lt;&gt;0),"Error: PDs should not be defined when defining as duration effort %.","")))))</f>
        <v>Error: Effort value is not defined or is invalid.</v>
      </c>
    </row>
    <row r="185" spans="1:30" ht="86.4" hidden="1" outlineLevel="2" x14ac:dyDescent="0.3">
      <c r="A185" s="93" t="s">
        <v>0</v>
      </c>
      <c r="B185" s="21"/>
      <c r="C185" s="85"/>
      <c r="D185" s="85"/>
      <c r="E185" s="85"/>
      <c r="F185" s="86"/>
      <c r="G185" s="22" t="s">
        <v>23</v>
      </c>
      <c r="H185" s="22" t="s">
        <v>23</v>
      </c>
      <c r="I185" s="23" t="s">
        <v>23</v>
      </c>
      <c r="J185" s="22" t="s">
        <v>23</v>
      </c>
      <c r="K185" s="38" t="s">
        <v>487</v>
      </c>
      <c r="L185" s="22"/>
      <c r="M185" s="286">
        <f ca="1">IFERROR(OFFSET(M185,-1,,1,1)+0.1,OFFSET(M185,-1,-1,1,1)&amp;".1")</f>
        <v>2.3000000000000003</v>
      </c>
      <c r="N185" s="23" t="s">
        <v>484</v>
      </c>
      <c r="O185" s="23" t="s">
        <v>578</v>
      </c>
      <c r="P185" s="23">
        <f>Total_Use_Cases * R185</f>
        <v>1050</v>
      </c>
      <c r="Q185" s="144">
        <f>Total_Use_Cases</f>
        <v>210</v>
      </c>
      <c r="R185" s="137">
        <v>5</v>
      </c>
      <c r="S185" s="169">
        <f>CEILING((IF(J185="Yes", 0, IF(H185="-",AA185,AA185+AA185*VLOOKUP(H185,BUFFERS_BY_TYPE,2,FALSE)))) +
   (IF(J185="Yes", 0, IF(H185="-",AA185,AA185+AA185*VLOOKUP(H185,BUFFERS_BY_TYPE,2,FALSE))))*VLOOKUP($S$5, SALES_CALL_SCALE_ARRAY, 2,FALSE),0.25)</f>
        <v>0</v>
      </c>
      <c r="T185" s="170"/>
      <c r="U185" s="24">
        <v>0</v>
      </c>
      <c r="V185" s="24">
        <v>1</v>
      </c>
      <c r="W185" s="24">
        <v>0</v>
      </c>
      <c r="X185" s="168"/>
      <c r="Y185" s="169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0</v>
      </c>
      <c r="Z185" s="25"/>
      <c r="AA185" s="169">
        <f>Y185+Y185*VLOOKUP(I185,EXTRAS_ARRAY,2,FALSE)</f>
        <v>0</v>
      </c>
      <c r="AB185" s="23"/>
      <c r="AC185" s="37"/>
      <c r="AD185" s="26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>Error: Effort value is not defined or is invalid.</v>
      </c>
    </row>
    <row r="186" spans="1:30" ht="43.2" hidden="1" outlineLevel="2" x14ac:dyDescent="0.3">
      <c r="A186" s="93" t="s">
        <v>0</v>
      </c>
      <c r="B186" s="21"/>
      <c r="C186" s="85"/>
      <c r="D186" s="85"/>
      <c r="E186" s="85"/>
      <c r="F186" s="86"/>
      <c r="G186" s="22" t="s">
        <v>23</v>
      </c>
      <c r="H186" s="22" t="s">
        <v>23</v>
      </c>
      <c r="I186" s="23" t="s">
        <v>23</v>
      </c>
      <c r="J186" s="22" t="s">
        <v>23</v>
      </c>
      <c r="K186" s="38"/>
      <c r="L186" s="22"/>
      <c r="M186" s="286">
        <f ca="1">IFERROR(OFFSET(M186,-1,,1,1)+0.1,OFFSET(M186,-1,-1,1,1)&amp;".1")</f>
        <v>2.4000000000000004</v>
      </c>
      <c r="N186" s="23" t="s">
        <v>485</v>
      </c>
      <c r="O186" s="23"/>
      <c r="P186" s="23"/>
      <c r="Q186" s="144"/>
      <c r="R186" s="137"/>
      <c r="S186" s="169">
        <f>CEILING((IF(J186="Yes", 0, IF(H186="-",AA186,AA186+AA186*VLOOKUP(H186,BUFFERS_BY_TYPE,2,FALSE)))) +
   (IF(J186="Yes", 0, IF(H186="-",AA186,AA186+AA186*VLOOKUP(H186,BUFFERS_BY_TYPE,2,FALSE))))*VLOOKUP($S$5, SALES_CALL_SCALE_ARRAY, 2,FALSE),0.25)</f>
        <v>0</v>
      </c>
      <c r="T186" s="170"/>
      <c r="U186" s="24">
        <v>0</v>
      </c>
      <c r="V186" s="24">
        <v>1</v>
      </c>
      <c r="W186" s="24">
        <v>0</v>
      </c>
      <c r="X186" s="168"/>
      <c r="Y186" s="169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0</v>
      </c>
      <c r="Z186" s="25"/>
      <c r="AA186" s="169">
        <f>Y186+Y186*VLOOKUP(I186,EXTRAS_ARRAY,2,FALSE)</f>
        <v>0</v>
      </c>
      <c r="AB186" s="23"/>
      <c r="AC186" s="37"/>
      <c r="AD186" s="26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>Error: Effort value is not defined or is invalid.</v>
      </c>
    </row>
    <row r="187" spans="1:30" s="11" customFormat="1" ht="7.5" hidden="1" customHeight="1" outlineLevel="2" x14ac:dyDescent="0.3">
      <c r="A187" s="93" t="s">
        <v>132</v>
      </c>
      <c r="B187" s="18"/>
      <c r="C187" s="78"/>
      <c r="D187" s="78"/>
      <c r="E187" s="78"/>
      <c r="F187" s="78"/>
      <c r="G187" s="10"/>
      <c r="H187" s="10"/>
      <c r="I187" s="10"/>
      <c r="J187" s="10"/>
      <c r="K187" s="10"/>
      <c r="L187" s="10"/>
      <c r="M187" s="287"/>
      <c r="N187" s="10"/>
      <c r="O187" s="10"/>
      <c r="P187" s="10"/>
      <c r="Q187" s="10"/>
      <c r="R187" s="10"/>
      <c r="S187" s="10"/>
      <c r="T187" s="18"/>
      <c r="U187" s="10"/>
      <c r="V187" s="10"/>
      <c r="W187" s="10"/>
      <c r="X187" s="18"/>
      <c r="Y187" s="10"/>
      <c r="Z187" s="10"/>
      <c r="AA187" s="10"/>
      <c r="AB187" s="60"/>
      <c r="AC187" s="60"/>
      <c r="AD187" s="12"/>
    </row>
    <row r="188" spans="1:30" s="17" customFormat="1" ht="15.6" hidden="1" outlineLevel="1" collapsed="1" x14ac:dyDescent="0.3">
      <c r="A188" s="93" t="s">
        <v>100</v>
      </c>
      <c r="B188" s="21"/>
      <c r="C188" s="84"/>
      <c r="D188" s="84"/>
      <c r="E188" s="84"/>
      <c r="F188" s="83"/>
      <c r="G188" s="32"/>
      <c r="H188" s="32"/>
      <c r="I188" s="32"/>
      <c r="J188" s="32"/>
      <c r="K188" s="32"/>
      <c r="L188" s="20">
        <f ca="1">LOOKUP(1000,INDIRECT("L1:"&amp;CELL("address",INDIRECT("R[-1]C",FALSE))))+1</f>
        <v>3</v>
      </c>
      <c r="M188" s="301" t="s">
        <v>497</v>
      </c>
      <c r="N188" s="301"/>
      <c r="O188" s="5"/>
      <c r="P188" s="33"/>
      <c r="Q188" s="33"/>
      <c r="R188" s="33"/>
      <c r="S188" s="33"/>
      <c r="T188" s="167">
        <f>IF($S$6="Exclude", SUMIFS(S189:S192, J189:J192, "&lt;&gt;Yes", G189:G192, "&lt;&gt;Yes"), SUMIFS(S189:S192, J189:J192, "&lt;&gt;Yes"))</f>
        <v>0</v>
      </c>
      <c r="U188" s="33"/>
      <c r="V188" s="33"/>
      <c r="W188" s="33"/>
      <c r="X188" s="34"/>
      <c r="Y188" s="35"/>
      <c r="Z188" s="35"/>
      <c r="AA188" s="35"/>
      <c r="AB188" s="240"/>
      <c r="AC188" s="36"/>
      <c r="AD188" s="26" t="str">
        <f>IF(M188="", "Error: Task name cannot be empty.", "")</f>
        <v/>
      </c>
    </row>
    <row r="189" spans="1:30" s="15" customFormat="1" ht="1.5" hidden="1" customHeight="1" outlineLevel="2" x14ac:dyDescent="0.3">
      <c r="A189" s="93" t="s">
        <v>101</v>
      </c>
      <c r="B189" s="21"/>
      <c r="C189" s="84"/>
      <c r="D189" s="84"/>
      <c r="E189" s="84"/>
      <c r="F189" s="83"/>
      <c r="G189" s="32"/>
      <c r="H189" s="32"/>
      <c r="I189" s="32"/>
      <c r="J189" s="32"/>
      <c r="K189" s="32"/>
      <c r="L189" s="175">
        <f ca="1">L188</f>
        <v>3</v>
      </c>
      <c r="M189" s="176" t="s">
        <v>105</v>
      </c>
      <c r="N189" s="173"/>
      <c r="O189" s="174"/>
      <c r="P189" s="33"/>
      <c r="Q189" s="33"/>
      <c r="R189" s="33"/>
      <c r="S189" s="33"/>
      <c r="T189" s="167"/>
      <c r="U189" s="33"/>
      <c r="V189" s="33"/>
      <c r="W189" s="33"/>
      <c r="X189" s="34"/>
      <c r="Y189" s="35"/>
      <c r="Z189" s="35"/>
      <c r="AA189" s="35"/>
      <c r="AB189" s="36"/>
      <c r="AC189" s="36"/>
      <c r="AD189" s="26"/>
    </row>
    <row r="190" spans="1:30" ht="43.2" hidden="1" outlineLevel="2" x14ac:dyDescent="0.3">
      <c r="A190" s="93" t="s">
        <v>0</v>
      </c>
      <c r="B190" s="21"/>
      <c r="C190" s="85"/>
      <c r="D190" s="85"/>
      <c r="E190" s="85"/>
      <c r="F190" s="86"/>
      <c r="G190" s="22" t="s">
        <v>23</v>
      </c>
      <c r="H190" s="22" t="s">
        <v>23</v>
      </c>
      <c r="I190" s="23" t="s">
        <v>23</v>
      </c>
      <c r="J190" s="22" t="s">
        <v>23</v>
      </c>
      <c r="K190" s="38"/>
      <c r="L190" s="22"/>
      <c r="M190" s="286" t="str">
        <f ca="1">IFERROR(OFFSET(M190,-1,,1,1)+0.1,OFFSET(M190,-1,-1,1,1)&amp;".1")</f>
        <v>3.1</v>
      </c>
      <c r="N190" s="23" t="s">
        <v>498</v>
      </c>
      <c r="O190" s="23"/>
      <c r="P190" s="23"/>
      <c r="Q190" s="144"/>
      <c r="R190" s="137"/>
      <c r="S190" s="169">
        <f>CEILING((IF(J190="Yes", 0, IF(H190="-",AA190,AA190+AA190*VLOOKUP(H190,BUFFERS_BY_TYPE,2,FALSE)))) +
   (IF(J190="Yes", 0, IF(H190="-",AA190,AA190+AA190*VLOOKUP(H190,BUFFERS_BY_TYPE,2,FALSE))))*VLOOKUP($S$5, SALES_CALL_SCALE_ARRAY, 2,FALSE),0.25)</f>
        <v>0</v>
      </c>
      <c r="T190" s="170"/>
      <c r="U190" s="24">
        <v>0</v>
      </c>
      <c r="V190" s="24">
        <v>1</v>
      </c>
      <c r="W190" s="24">
        <v>0</v>
      </c>
      <c r="X190" s="168"/>
      <c r="Y190" s="169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0</v>
      </c>
      <c r="Z190" s="25"/>
      <c r="AA190" s="169">
        <f>Y190+Y190*VLOOKUP(I190,EXTRAS_ARRAY,2,FALSE)</f>
        <v>0</v>
      </c>
      <c r="AB190" s="23"/>
      <c r="AC190" s="37"/>
      <c r="AD190" s="26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>Error: Effort value is not defined or is invalid.</v>
      </c>
    </row>
    <row r="191" spans="1:30" ht="43.2" hidden="1" outlineLevel="2" x14ac:dyDescent="0.3">
      <c r="A191" s="93" t="s">
        <v>0</v>
      </c>
      <c r="B191" s="21"/>
      <c r="C191" s="85"/>
      <c r="D191" s="85"/>
      <c r="E191" s="85"/>
      <c r="F191" s="86"/>
      <c r="G191" s="22" t="s">
        <v>23</v>
      </c>
      <c r="H191" s="22" t="s">
        <v>23</v>
      </c>
      <c r="I191" s="23" t="s">
        <v>23</v>
      </c>
      <c r="J191" s="22" t="s">
        <v>23</v>
      </c>
      <c r="K191" s="38" t="s">
        <v>580</v>
      </c>
      <c r="L191" s="22"/>
      <c r="M191" s="286">
        <f ca="1">IFERROR(OFFSET(M191,-1,,1,1)+0.1,OFFSET(M191,-1,-1,1,1)&amp;".1")</f>
        <v>3.2</v>
      </c>
      <c r="N191" s="23" t="s">
        <v>499</v>
      </c>
      <c r="O191" s="23" t="s">
        <v>579</v>
      </c>
      <c r="P191" s="274">
        <v>0.1</v>
      </c>
      <c r="Q191" s="144">
        <f>Total_Test_Cases * P191</f>
        <v>105</v>
      </c>
      <c r="R191" s="137"/>
      <c r="S191" s="169">
        <f>CEILING((IF(J191="Yes", 0, IF(H191="-",AA191,AA191+AA191*VLOOKUP(H191,BUFFERS_BY_TYPE,2,FALSE)))) +
   (IF(J191="Yes", 0, IF(H191="-",AA191,AA191+AA191*VLOOKUP(H191,BUFFERS_BY_TYPE,2,FALSE))))*VLOOKUP($S$5, SALES_CALL_SCALE_ARRAY, 2,FALSE),0.25)</f>
        <v>0</v>
      </c>
      <c r="T191" s="170"/>
      <c r="U191" s="24">
        <v>0</v>
      </c>
      <c r="V191" s="24">
        <v>1</v>
      </c>
      <c r="W191" s="24">
        <v>0</v>
      </c>
      <c r="X191" s="168"/>
      <c r="Y191" s="169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>0</v>
      </c>
      <c r="Z191" s="25"/>
      <c r="AA191" s="169">
        <f>Y191+Y191*VLOOKUP(I191,EXTRAS_ARRAY,2,FALSE)</f>
        <v>0</v>
      </c>
      <c r="AB191" s="23"/>
      <c r="AC191" s="37"/>
      <c r="AD191" s="26" t="str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>Error: Effort value is not defined or is invalid.</v>
      </c>
    </row>
    <row r="192" spans="1:30" s="11" customFormat="1" ht="7.5" hidden="1" customHeight="1" outlineLevel="2" x14ac:dyDescent="0.3">
      <c r="A192" s="93" t="s">
        <v>132</v>
      </c>
      <c r="B192" s="18"/>
      <c r="C192" s="78"/>
      <c r="D192" s="78"/>
      <c r="E192" s="78"/>
      <c r="F192" s="78"/>
      <c r="G192" s="10"/>
      <c r="H192" s="10"/>
      <c r="I192" s="10"/>
      <c r="J192" s="10"/>
      <c r="K192" s="10"/>
      <c r="L192" s="10"/>
      <c r="M192" s="287"/>
      <c r="N192" s="10"/>
      <c r="O192" s="10"/>
      <c r="P192" s="10"/>
      <c r="Q192" s="10"/>
      <c r="R192" s="10"/>
      <c r="S192" s="10"/>
      <c r="T192" s="18"/>
      <c r="U192" s="10"/>
      <c r="V192" s="10"/>
      <c r="W192" s="10"/>
      <c r="X192" s="18"/>
      <c r="Y192" s="10"/>
      <c r="Z192" s="10"/>
      <c r="AA192" s="10"/>
      <c r="AB192" s="60"/>
      <c r="AC192" s="60"/>
      <c r="AD192" s="12"/>
    </row>
    <row r="193" spans="1:30" s="17" customFormat="1" ht="15.6" hidden="1" outlineLevel="1" collapsed="1" x14ac:dyDescent="0.3">
      <c r="A193" s="93" t="s">
        <v>100</v>
      </c>
      <c r="B193" s="21"/>
      <c r="C193" s="84"/>
      <c r="D193" s="84"/>
      <c r="E193" s="84"/>
      <c r="F193" s="83"/>
      <c r="G193" s="32"/>
      <c r="H193" s="32"/>
      <c r="I193" s="32"/>
      <c r="J193" s="32"/>
      <c r="K193" s="32"/>
      <c r="L193" s="20">
        <f ca="1">LOOKUP(1000,INDIRECT("L1:"&amp;CELL("address",INDIRECT("R[-1]C",FALSE))))+1</f>
        <v>4</v>
      </c>
      <c r="M193" s="301" t="s">
        <v>500</v>
      </c>
      <c r="N193" s="301"/>
      <c r="O193" s="5"/>
      <c r="P193" s="33"/>
      <c r="Q193" s="33"/>
      <c r="R193" s="33"/>
      <c r="S193" s="33"/>
      <c r="T193" s="167">
        <f>IF($S$6="Exclude", SUMIFS(S194:S199, J194:J199, "&lt;&gt;Yes", G194:G199, "&lt;&gt;Yes"), SUMIFS(S194:S199, J194:J199, "&lt;&gt;Yes"))</f>
        <v>49.5</v>
      </c>
      <c r="U193" s="33"/>
      <c r="V193" s="33"/>
      <c r="W193" s="33"/>
      <c r="X193" s="34"/>
      <c r="Y193" s="35"/>
      <c r="Z193" s="35"/>
      <c r="AA193" s="35"/>
      <c r="AB193" s="240"/>
      <c r="AC193" s="36"/>
      <c r="AD193" s="26" t="str">
        <f>IF(M193="", "Error: Task name cannot be empty.", "")</f>
        <v/>
      </c>
    </row>
    <row r="194" spans="1:30" s="15" customFormat="1" ht="1.5" hidden="1" customHeight="1" outlineLevel="2" x14ac:dyDescent="0.3">
      <c r="A194" s="93" t="s">
        <v>101</v>
      </c>
      <c r="B194" s="21"/>
      <c r="C194" s="84"/>
      <c r="D194" s="84"/>
      <c r="E194" s="84"/>
      <c r="F194" s="83"/>
      <c r="G194" s="32"/>
      <c r="H194" s="32"/>
      <c r="I194" s="32"/>
      <c r="J194" s="32"/>
      <c r="K194" s="32"/>
      <c r="L194" s="175">
        <f ca="1">L193</f>
        <v>4</v>
      </c>
      <c r="M194" s="176" t="s">
        <v>105</v>
      </c>
      <c r="N194" s="173"/>
      <c r="O194" s="174"/>
      <c r="P194" s="33"/>
      <c r="Q194" s="33"/>
      <c r="R194" s="33"/>
      <c r="S194" s="33"/>
      <c r="T194" s="167"/>
      <c r="U194" s="33"/>
      <c r="V194" s="33"/>
      <c r="W194" s="33"/>
      <c r="X194" s="34"/>
      <c r="Y194" s="35"/>
      <c r="Z194" s="35"/>
      <c r="AA194" s="35"/>
      <c r="AB194" s="36"/>
      <c r="AC194" s="36"/>
      <c r="AD194" s="26"/>
    </row>
    <row r="195" spans="1:30" ht="43.2" hidden="1" outlineLevel="2" x14ac:dyDescent="0.3">
      <c r="A195" s="93" t="s">
        <v>0</v>
      </c>
      <c r="B195" s="21"/>
      <c r="C195" s="85"/>
      <c r="D195" s="85"/>
      <c r="E195" s="85"/>
      <c r="F195" s="86"/>
      <c r="G195" s="22" t="s">
        <v>23</v>
      </c>
      <c r="H195" s="22" t="s">
        <v>23</v>
      </c>
      <c r="I195" s="23" t="s">
        <v>23</v>
      </c>
      <c r="J195" s="22" t="s">
        <v>23</v>
      </c>
      <c r="K195" s="38"/>
      <c r="L195" s="22"/>
      <c r="M195" s="286" t="str">
        <f ca="1">IFERROR(OFFSET(M195,-1,,1,1)+0.1,OFFSET(M195,-1,-1,1,1)&amp;".1")</f>
        <v>4.1</v>
      </c>
      <c r="N195" s="23" t="s">
        <v>501</v>
      </c>
      <c r="O195" s="23"/>
      <c r="P195" s="23" t="s">
        <v>505</v>
      </c>
      <c r="Q195" s="144">
        <v>2</v>
      </c>
      <c r="R195" s="137"/>
      <c r="S195" s="169">
        <f>CEILING((IF(J195="Yes", 0, IF(H195="-",AA195,AA195+AA195*VLOOKUP(H195,BUFFERS_BY_TYPE,2,FALSE)))) +
   (IF(J195="Yes", 0, IF(H195="-",AA195,AA195+AA195*VLOOKUP(H195,BUFFERS_BY_TYPE,2,FALSE))))*VLOOKUP($S$5, SALES_CALL_SCALE_ARRAY, 2,FALSE),0.25)</f>
        <v>0</v>
      </c>
      <c r="T195" s="170"/>
      <c r="U195" s="24">
        <v>0</v>
      </c>
      <c r="V195" s="24">
        <v>1</v>
      </c>
      <c r="W195" s="24">
        <v>0</v>
      </c>
      <c r="X195" s="168"/>
      <c r="Y195" s="169">
        <f>CEILING((IF(P195=AS_DEV_EFFORT, DEV_EFFORT*Q195%,
                           IF(P195=AS_DURATION_EFFORT, (MANUAL_DURATION*5)*Q195%,
                                    (IF(Q195&lt;=1,X195,
                                          IF(SUM(U195:W195)=0,(Q195*X195),
                                               (((Q195*U195)*(X195+(X195*EXTRA_FOR_H)))+
                                               ((Q195*V195)*X195)+
                                               ((Q195*W195)*(X195-(X195*LESS_FOR_L)))
                                    )*IF(R195=0,1,R195))))))+Z195), 0.25)</f>
        <v>0</v>
      </c>
      <c r="Z195" s="25"/>
      <c r="AA195" s="169">
        <f>Y195+Y195*VLOOKUP(I195,EXTRAS_ARRAY,2,FALSE)</f>
        <v>0</v>
      </c>
      <c r="AB195" s="23"/>
      <c r="AC195" s="37"/>
      <c r="AD195" s="26" t="str">
        <f>IF(J195&lt;&gt;"Yes",
IF(S195&lt;=0,"Error: Effort value is not defined or is invalid.",
IF(AND(SUM(U195:W195)&gt;0,SUM(U195:W195)&lt;&gt;1),"Error: Complexity % distribution should sum to 100%.",
IF(AND(P195=AS_DEV_EFFORT,X195&lt;&gt;0),"Error: PDs should not be defined when defining as dev effort %.",
IF(AND(P195=AS_DURATION_EFFORT,X195&lt;&gt;0),"Error: PDs should not be defined when defining as duration effort %.","")))))</f>
        <v>Error: Effort value is not defined or is invalid.</v>
      </c>
    </row>
    <row r="196" spans="1:30" ht="28.8" hidden="1" outlineLevel="2" x14ac:dyDescent="0.3">
      <c r="A196" s="93" t="s">
        <v>0</v>
      </c>
      <c r="B196" s="21"/>
      <c r="C196" s="85"/>
      <c r="D196" s="85"/>
      <c r="E196" s="85"/>
      <c r="F196" s="86"/>
      <c r="G196" s="22" t="s">
        <v>23</v>
      </c>
      <c r="H196" s="22" t="s">
        <v>23</v>
      </c>
      <c r="I196" s="23" t="s">
        <v>23</v>
      </c>
      <c r="J196" s="22" t="s">
        <v>23</v>
      </c>
      <c r="K196" s="38"/>
      <c r="L196" s="22"/>
      <c r="M196" s="286">
        <f ca="1">IFERROR(OFFSET(M196,-1,,1,1)+0.1,OFFSET(M196,-1,-1,1,1)&amp;".1")</f>
        <v>4.1999999999999993</v>
      </c>
      <c r="N196" s="23" t="s">
        <v>502</v>
      </c>
      <c r="O196" s="23"/>
      <c r="P196" s="23" t="s">
        <v>488</v>
      </c>
      <c r="Q196" s="144">
        <f>Total_Test_Cases * 15%</f>
        <v>157.5</v>
      </c>
      <c r="R196" s="137"/>
      <c r="S196" s="169">
        <f>CEILING((IF(J196="Yes", 0, IF(H196="-",AA196,AA196+AA196*VLOOKUP(H196,BUFFERS_BY_TYPE,2,FALSE)))) +
   (IF(J196="Yes", 0, IF(H196="-",AA196,AA196+AA196*VLOOKUP(H196,BUFFERS_BY_TYPE,2,FALSE))))*VLOOKUP($S$5, SALES_CALL_SCALE_ARRAY, 2,FALSE),0.25)</f>
        <v>39.5</v>
      </c>
      <c r="T196" s="170"/>
      <c r="U196" s="24">
        <v>0</v>
      </c>
      <c r="V196" s="24">
        <v>1</v>
      </c>
      <c r="W196" s="24">
        <v>0</v>
      </c>
      <c r="X196" s="168">
        <f>2/8</f>
        <v>0.25</v>
      </c>
      <c r="Y196" s="169">
        <f>CEILING((IF(P196=AS_DEV_EFFORT, DEV_EFFORT*Q196%,
                           IF(P196=AS_DURATION_EFFORT, (MANUAL_DURATION*5)*Q196%,
                                    (IF(Q196&lt;=1,X196,
                                          IF(SUM(U196:W196)=0,(Q196*X196),
                                               (((Q196*U196)*(X196+(X196*EXTRA_FOR_H)))+
                                               ((Q196*V196)*X196)+
                                               ((Q196*W196)*(X196-(X196*LESS_FOR_L)))
                                    )*IF(R196=0,1,R196))))))+Z196), 0.25)</f>
        <v>39.5</v>
      </c>
      <c r="Z196" s="25"/>
      <c r="AA196" s="169">
        <f>Y196+Y196*VLOOKUP(I196,EXTRAS_ARRAY,2,FALSE)</f>
        <v>39.5</v>
      </c>
      <c r="AB196" s="23" t="s">
        <v>581</v>
      </c>
      <c r="AC196" s="37"/>
      <c r="AD196" s="26" t="str">
        <f>IF(J196&lt;&gt;"Yes",
IF(S196&lt;=0,"Error: Effort value is not defined or is invalid.",
IF(AND(SUM(U196:W196)&gt;0,SUM(U196:W196)&lt;&gt;1),"Error: Complexity % distribution should sum to 100%.",
IF(AND(P196=AS_DEV_EFFORT,X196&lt;&gt;0),"Error: PDs should not be defined when defining as dev effort %.",
IF(AND(P196=AS_DURATION_EFFORT,X196&lt;&gt;0),"Error: PDs should not be defined when defining as duration effort %.","")))))</f>
        <v/>
      </c>
    </row>
    <row r="197" spans="1:30" ht="15.6" hidden="1" outlineLevel="2" x14ac:dyDescent="0.3">
      <c r="A197" s="93" t="s">
        <v>0</v>
      </c>
      <c r="B197" s="21"/>
      <c r="C197" s="85"/>
      <c r="D197" s="85"/>
      <c r="E197" s="85"/>
      <c r="F197" s="86"/>
      <c r="G197" s="22" t="s">
        <v>23</v>
      </c>
      <c r="H197" s="22" t="s">
        <v>23</v>
      </c>
      <c r="I197" s="23" t="s">
        <v>23</v>
      </c>
      <c r="J197" s="22" t="s">
        <v>23</v>
      </c>
      <c r="K197" s="38"/>
      <c r="L197" s="22"/>
      <c r="M197" s="286">
        <f ca="1">IFERROR(OFFSET(M197,-1,,1,1)+0.1,OFFSET(M197,-1,-1,1,1)&amp;".1")</f>
        <v>4.2999999999999989</v>
      </c>
      <c r="N197" s="23" t="s">
        <v>503</v>
      </c>
      <c r="O197" s="23"/>
      <c r="P197" s="23" t="s">
        <v>488</v>
      </c>
      <c r="Q197" s="144">
        <f>Total_Test_Cases * 15%</f>
        <v>157.5</v>
      </c>
      <c r="R197" s="137">
        <v>3</v>
      </c>
      <c r="S197" s="169">
        <f>CEILING((IF(J197="Yes", 0, IF(H197="-",AA197,AA197+AA197*VLOOKUP(H197,BUFFERS_BY_TYPE,2,FALSE)))) +
   (IF(J197="Yes", 0, IF(H197="-",AA197,AA197+AA197*VLOOKUP(H197,BUFFERS_BY_TYPE,2,FALSE))))*VLOOKUP($S$5, SALES_CALL_SCALE_ARRAY, 2,FALSE),0.25)</f>
        <v>10</v>
      </c>
      <c r="T197" s="170"/>
      <c r="U197" s="24">
        <v>0</v>
      </c>
      <c r="V197" s="24">
        <v>1</v>
      </c>
      <c r="W197" s="24">
        <v>0</v>
      </c>
      <c r="X197" s="168">
        <f>10/60/8</f>
        <v>2.0833333333333332E-2</v>
      </c>
      <c r="Y197" s="169">
        <f>CEILING((IF(P197=AS_DEV_EFFORT, DEV_EFFORT*Q197%,
                           IF(P197=AS_DURATION_EFFORT, (MANUAL_DURATION*5)*Q197%,
                                    (IF(Q197&lt;=1,X197,
                                          IF(SUM(U197:W197)=0,(Q197*X197),
                                               (((Q197*U197)*(X197+(X197*EXTRA_FOR_H)))+
                                               ((Q197*V197)*X197)+
                                               ((Q197*W197)*(X197-(X197*LESS_FOR_L)))
                                    )*IF(R197=0,1,R197))))))+Z197), 0.25)</f>
        <v>10</v>
      </c>
      <c r="Z197" s="25"/>
      <c r="AA197" s="169">
        <f>Y197+Y197*VLOOKUP(I197,EXTRAS_ARRAY,2,FALSE)</f>
        <v>10</v>
      </c>
      <c r="AB197" s="23"/>
      <c r="AC197" s="37"/>
      <c r="AD197" s="26" t="str">
        <f>IF(J197&lt;&gt;"Yes",
IF(S197&lt;=0,"Error: Effort value is not defined or is invalid.",
IF(AND(SUM(U197:W197)&gt;0,SUM(U197:W197)&lt;&gt;1),"Error: Complexity % distribution should sum to 100%.",
IF(AND(P197=AS_DEV_EFFORT,X197&lt;&gt;0),"Error: PDs should not be defined when defining as dev effort %.",
IF(AND(P197=AS_DURATION_EFFORT,X197&lt;&gt;0),"Error: PDs should not be defined when defining as duration effort %.","")))))</f>
        <v/>
      </c>
    </row>
    <row r="198" spans="1:30" ht="43.2" hidden="1" outlineLevel="2" x14ac:dyDescent="0.3">
      <c r="A198" s="93" t="s">
        <v>0</v>
      </c>
      <c r="B198" s="21"/>
      <c r="C198" s="85"/>
      <c r="D198" s="85"/>
      <c r="E198" s="85"/>
      <c r="F198" s="86"/>
      <c r="G198" s="22" t="s">
        <v>23</v>
      </c>
      <c r="H198" s="22" t="s">
        <v>23</v>
      </c>
      <c r="I198" s="23" t="s">
        <v>23</v>
      </c>
      <c r="J198" s="22" t="s">
        <v>23</v>
      </c>
      <c r="K198" s="38"/>
      <c r="L198" s="22"/>
      <c r="M198" s="286">
        <f ca="1">IFERROR(OFFSET(M198,-1,,1,1)+0.1,OFFSET(M198,-1,-1,1,1)&amp;".1")</f>
        <v>4.3999999999999986</v>
      </c>
      <c r="N198" s="23" t="s">
        <v>504</v>
      </c>
      <c r="O198" s="23"/>
      <c r="P198" s="23"/>
      <c r="Q198" s="144"/>
      <c r="R198" s="137"/>
      <c r="S198" s="169">
        <f>CEILING((IF(J198="Yes", 0, IF(H198="-",AA198,AA198+AA198*VLOOKUP(H198,BUFFERS_BY_TYPE,2,FALSE)))) +
   (IF(J198="Yes", 0, IF(H198="-",AA198,AA198+AA198*VLOOKUP(H198,BUFFERS_BY_TYPE,2,FALSE))))*VLOOKUP($S$5, SALES_CALL_SCALE_ARRAY, 2,FALSE),0.25)</f>
        <v>0</v>
      </c>
      <c r="T198" s="170"/>
      <c r="U198" s="24">
        <v>0</v>
      </c>
      <c r="V198" s="24">
        <v>1</v>
      </c>
      <c r="W198" s="24">
        <v>0</v>
      </c>
      <c r="X198" s="168"/>
      <c r="Y198" s="169">
        <f>CEILING((IF(P198=AS_DEV_EFFORT, DEV_EFFORT*Q198%,
                           IF(P198=AS_DURATION_EFFORT, (MANUAL_DURATION*5)*Q198%,
                                    (IF(Q198&lt;=1,X198,
                                          IF(SUM(U198:W198)=0,(Q198*X198),
                                               (((Q198*U198)*(X198+(X198*EXTRA_FOR_H)))+
                                               ((Q198*V198)*X198)+
                                               ((Q198*W198)*(X198-(X198*LESS_FOR_L)))
                                    )*IF(R198=0,1,R198))))))+Z198), 0.25)</f>
        <v>0</v>
      </c>
      <c r="Z198" s="25"/>
      <c r="AA198" s="169">
        <f>Y198+Y198*VLOOKUP(I198,EXTRAS_ARRAY,2,FALSE)</f>
        <v>0</v>
      </c>
      <c r="AB198" s="23"/>
      <c r="AC198" s="37"/>
      <c r="AD198" s="26" t="str">
        <f>IF(J198&lt;&gt;"Yes",
IF(S198&lt;=0,"Error: Effort value is not defined or is invalid.",
IF(AND(SUM(U198:W198)&gt;0,SUM(U198:W198)&lt;&gt;1),"Error: Complexity % distribution should sum to 100%.",
IF(AND(P198=AS_DEV_EFFORT,X198&lt;&gt;0),"Error: PDs should not be defined when defining as dev effort %.",
IF(AND(P198=AS_DURATION_EFFORT,X198&lt;&gt;0),"Error: PDs should not be defined when defining as duration effort %.","")))))</f>
        <v>Error: Effort value is not defined or is invalid.</v>
      </c>
    </row>
    <row r="199" spans="1:30" s="11" customFormat="1" ht="7.5" hidden="1" customHeight="1" outlineLevel="2" x14ac:dyDescent="0.3">
      <c r="A199" s="93" t="s">
        <v>132</v>
      </c>
      <c r="B199" s="18"/>
      <c r="C199" s="78"/>
      <c r="D199" s="78"/>
      <c r="E199" s="78"/>
      <c r="F199" s="78"/>
      <c r="G199" s="10"/>
      <c r="H199" s="10"/>
      <c r="I199" s="10"/>
      <c r="J199" s="10"/>
      <c r="K199" s="10"/>
      <c r="L199" s="10"/>
      <c r="M199" s="287"/>
      <c r="N199" s="10"/>
      <c r="O199" s="10"/>
      <c r="P199" s="10"/>
      <c r="Q199" s="10"/>
      <c r="R199" s="10"/>
      <c r="S199" s="10"/>
      <c r="T199" s="18"/>
      <c r="U199" s="10"/>
      <c r="V199" s="10"/>
      <c r="W199" s="10"/>
      <c r="X199" s="18"/>
      <c r="Y199" s="10"/>
      <c r="Z199" s="10"/>
      <c r="AA199" s="10"/>
      <c r="AB199" s="60"/>
      <c r="AC199" s="60"/>
      <c r="AD199" s="12"/>
    </row>
    <row r="200" spans="1:30" s="17" customFormat="1" ht="15.6" hidden="1" outlineLevel="1" collapsed="1" x14ac:dyDescent="0.3">
      <c r="A200" s="93" t="s">
        <v>100</v>
      </c>
      <c r="B200" s="21"/>
      <c r="C200" s="84"/>
      <c r="D200" s="84"/>
      <c r="E200" s="84"/>
      <c r="F200" s="83"/>
      <c r="G200" s="32"/>
      <c r="H200" s="32"/>
      <c r="I200" s="32"/>
      <c r="J200" s="32"/>
      <c r="K200" s="32"/>
      <c r="L200" s="20">
        <f ca="1">LOOKUP(1000,INDIRECT("L1:"&amp;CELL("address",INDIRECT("R[-1]C",FALSE))))+1</f>
        <v>5</v>
      </c>
      <c r="M200" s="301" t="s">
        <v>506</v>
      </c>
      <c r="N200" s="301"/>
      <c r="O200" s="5"/>
      <c r="P200" s="33"/>
      <c r="Q200" s="33"/>
      <c r="R200" s="33"/>
      <c r="S200" s="33"/>
      <c r="T200" s="167">
        <f>IF($S$6="Exclude", SUMIFS(S201:S208, J201:J208, "&lt;&gt;Yes", G201:G208, "&lt;&gt;Yes"), SUMIFS(S201:S208, J201:J208, "&lt;&gt;Yes"))</f>
        <v>0</v>
      </c>
      <c r="U200" s="33"/>
      <c r="V200" s="33"/>
      <c r="W200" s="33"/>
      <c r="X200" s="34"/>
      <c r="Y200" s="35"/>
      <c r="Z200" s="35"/>
      <c r="AA200" s="35"/>
      <c r="AB200" s="240"/>
      <c r="AC200" s="36"/>
      <c r="AD200" s="26" t="str">
        <f>IF(M200="", "Error: Task name cannot be empty.", "")</f>
        <v/>
      </c>
    </row>
    <row r="201" spans="1:30" s="15" customFormat="1" ht="1.5" hidden="1" customHeight="1" outlineLevel="2" x14ac:dyDescent="0.3">
      <c r="A201" s="93" t="s">
        <v>101</v>
      </c>
      <c r="B201" s="21"/>
      <c r="C201" s="84"/>
      <c r="D201" s="84"/>
      <c r="E201" s="84"/>
      <c r="F201" s="83"/>
      <c r="G201" s="32"/>
      <c r="H201" s="32"/>
      <c r="I201" s="32"/>
      <c r="J201" s="32"/>
      <c r="K201" s="32"/>
      <c r="L201" s="175">
        <f ca="1">L200</f>
        <v>5</v>
      </c>
      <c r="M201" s="176" t="s">
        <v>105</v>
      </c>
      <c r="N201" s="173"/>
      <c r="O201" s="174"/>
      <c r="P201" s="33"/>
      <c r="Q201" s="33"/>
      <c r="R201" s="33"/>
      <c r="S201" s="33"/>
      <c r="T201" s="167"/>
      <c r="U201" s="33"/>
      <c r="V201" s="33"/>
      <c r="W201" s="33"/>
      <c r="X201" s="34"/>
      <c r="Y201" s="35"/>
      <c r="Z201" s="35"/>
      <c r="AA201" s="35"/>
      <c r="AB201" s="36"/>
      <c r="AC201" s="36"/>
      <c r="AD201" s="26"/>
    </row>
    <row r="202" spans="1:30" ht="43.2" hidden="1" outlineLevel="2" x14ac:dyDescent="0.3">
      <c r="A202" s="93" t="s">
        <v>0</v>
      </c>
      <c r="B202" s="21"/>
      <c r="C202" s="85"/>
      <c r="D202" s="85"/>
      <c r="E202" s="85"/>
      <c r="F202" s="86"/>
      <c r="G202" s="22" t="s">
        <v>23</v>
      </c>
      <c r="H202" s="22" t="s">
        <v>23</v>
      </c>
      <c r="I202" s="23" t="s">
        <v>23</v>
      </c>
      <c r="J202" s="22" t="s">
        <v>23</v>
      </c>
      <c r="K202" s="38"/>
      <c r="L202" s="22"/>
      <c r="M202" s="286" t="str">
        <f t="shared" ref="M202:M207" ca="1" si="10">IFERROR(OFFSET(M202,-1,,1,1)+0.1,OFFSET(M202,-1,-1,1,1)&amp;".1")</f>
        <v>5.1</v>
      </c>
      <c r="N202" s="23" t="s">
        <v>507</v>
      </c>
      <c r="O202" s="23"/>
      <c r="P202" s="23" t="s">
        <v>582</v>
      </c>
      <c r="Q202" s="144"/>
      <c r="R202" s="137">
        <f>Total_Screens</f>
        <v>0</v>
      </c>
      <c r="S202" s="169">
        <f t="shared" ref="S202:S207" si="11">CEILING((IF(J202="Yes", 0, IF(H202="-",AA202,AA202+AA202*VLOOKUP(H202,BUFFERS_BY_TYPE,2,FALSE)))) +
   (IF(J202="Yes", 0, IF(H202="-",AA202,AA202+AA202*VLOOKUP(H202,BUFFERS_BY_TYPE,2,FALSE))))*VLOOKUP($S$5, SALES_CALL_SCALE_ARRAY, 2,FALSE),0.25)</f>
        <v>0</v>
      </c>
      <c r="T202" s="170"/>
      <c r="U202" s="24">
        <v>0</v>
      </c>
      <c r="V202" s="24">
        <v>1</v>
      </c>
      <c r="W202" s="24">
        <v>0</v>
      </c>
      <c r="X202" s="168"/>
      <c r="Y202" s="169">
        <f t="shared" ref="Y202:Y207" si="12">CEILING((IF(P202=AS_DEV_EFFORT, DEV_EFFORT*Q202%,
                           IF(P202=AS_DURATION_EFFORT, (MANUAL_DURATION*5)*Q202%,
                                    (IF(Q202&lt;=1,X202,
                                          IF(SUM(U202:W202)=0,(Q202*X202),
                                               (((Q202*U202)*(X202+(X202*EXTRA_FOR_H)))+
                                               ((Q202*V202)*X202)+
                                               ((Q202*W202)*(X202-(X202*LESS_FOR_L)))
                                    )*IF(R202=0,1,R202))))))+Z202), 0.25)</f>
        <v>0</v>
      </c>
      <c r="Z202" s="25"/>
      <c r="AA202" s="169">
        <f t="shared" ref="AA202:AA207" si="13">Y202+Y202*VLOOKUP(I202,EXTRAS_ARRAY,2,FALSE)</f>
        <v>0</v>
      </c>
      <c r="AB202" s="23"/>
      <c r="AC202" s="37"/>
      <c r="AD202" s="26" t="str">
        <f t="shared" ref="AD202:AD207" si="14">IF(J202&lt;&gt;"Yes",
IF(S202&lt;=0,"Error: Effort value is not defined or is invalid.",
IF(AND(SUM(U202:W202)&gt;0,SUM(U202:W202)&lt;&gt;1),"Error: Complexity % distribution should sum to 100%.",
IF(AND(P202=AS_DEV_EFFORT,X202&lt;&gt;0),"Error: PDs should not be defined when defining as dev effort %.",
IF(AND(P202=AS_DURATION_EFFORT,X202&lt;&gt;0),"Error: PDs should not be defined when defining as duration effort %.","")))))</f>
        <v>Error: Effort value is not defined or is invalid.</v>
      </c>
    </row>
    <row r="203" spans="1:30" ht="43.2" hidden="1" outlineLevel="2" x14ac:dyDescent="0.3">
      <c r="A203" s="93" t="s">
        <v>0</v>
      </c>
      <c r="B203" s="21"/>
      <c r="C203" s="85"/>
      <c r="D203" s="85"/>
      <c r="E203" s="85"/>
      <c r="F203" s="86"/>
      <c r="G203" s="22" t="s">
        <v>23</v>
      </c>
      <c r="H203" s="22" t="s">
        <v>23</v>
      </c>
      <c r="I203" s="23" t="s">
        <v>23</v>
      </c>
      <c r="J203" s="22" t="s">
        <v>23</v>
      </c>
      <c r="K203" s="38"/>
      <c r="L203" s="22"/>
      <c r="M203" s="286">
        <f t="shared" ca="1" si="10"/>
        <v>5.1999999999999993</v>
      </c>
      <c r="N203" s="23" t="s">
        <v>508</v>
      </c>
      <c r="O203" s="23"/>
      <c r="P203" s="23"/>
      <c r="Q203" s="144"/>
      <c r="R203" s="137"/>
      <c r="S203" s="169">
        <f t="shared" si="11"/>
        <v>0</v>
      </c>
      <c r="T203" s="170"/>
      <c r="U203" s="24">
        <v>0</v>
      </c>
      <c r="V203" s="24">
        <v>1</v>
      </c>
      <c r="W203" s="24">
        <v>0</v>
      </c>
      <c r="X203" s="168"/>
      <c r="Y203" s="169">
        <f t="shared" si="12"/>
        <v>0</v>
      </c>
      <c r="Z203" s="25"/>
      <c r="AA203" s="169">
        <f t="shared" si="13"/>
        <v>0</v>
      </c>
      <c r="AB203" s="23"/>
      <c r="AC203" s="37"/>
      <c r="AD203" s="26" t="str">
        <f t="shared" si="14"/>
        <v>Error: Effort value is not defined or is invalid.</v>
      </c>
    </row>
    <row r="204" spans="1:30" ht="43.2" hidden="1" outlineLevel="2" x14ac:dyDescent="0.3">
      <c r="A204" s="93" t="s">
        <v>0</v>
      </c>
      <c r="B204" s="21"/>
      <c r="C204" s="85"/>
      <c r="D204" s="85"/>
      <c r="E204" s="85"/>
      <c r="F204" s="86"/>
      <c r="G204" s="22" t="s">
        <v>23</v>
      </c>
      <c r="H204" s="22" t="s">
        <v>23</v>
      </c>
      <c r="I204" s="23" t="s">
        <v>23</v>
      </c>
      <c r="J204" s="22" t="s">
        <v>23</v>
      </c>
      <c r="K204" s="38"/>
      <c r="L204" s="22"/>
      <c r="M204" s="286">
        <f t="shared" ca="1" si="10"/>
        <v>5.2999999999999989</v>
      </c>
      <c r="N204" s="23" t="s">
        <v>509</v>
      </c>
      <c r="O204" s="23"/>
      <c r="P204" s="23" t="s">
        <v>583</v>
      </c>
      <c r="Q204" s="144"/>
      <c r="R204" s="137">
        <f>Total_Screens</f>
        <v>0</v>
      </c>
      <c r="S204" s="169">
        <f t="shared" si="11"/>
        <v>0</v>
      </c>
      <c r="T204" s="170"/>
      <c r="U204" s="24">
        <v>0</v>
      </c>
      <c r="V204" s="24">
        <v>1</v>
      </c>
      <c r="W204" s="24">
        <v>0</v>
      </c>
      <c r="X204" s="168"/>
      <c r="Y204" s="169">
        <f t="shared" si="12"/>
        <v>0</v>
      </c>
      <c r="Z204" s="25"/>
      <c r="AA204" s="169">
        <f t="shared" si="13"/>
        <v>0</v>
      </c>
      <c r="AB204" s="23"/>
      <c r="AC204" s="37"/>
      <c r="AD204" s="26" t="str">
        <f t="shared" si="14"/>
        <v>Error: Effort value is not defined or is invalid.</v>
      </c>
    </row>
    <row r="205" spans="1:30" ht="43.2" hidden="1" outlineLevel="2" x14ac:dyDescent="0.3">
      <c r="A205" s="93" t="s">
        <v>0</v>
      </c>
      <c r="B205" s="21"/>
      <c r="C205" s="85"/>
      <c r="D205" s="85"/>
      <c r="E205" s="85"/>
      <c r="F205" s="86"/>
      <c r="G205" s="22" t="s">
        <v>23</v>
      </c>
      <c r="H205" s="22" t="s">
        <v>23</v>
      </c>
      <c r="I205" s="23" t="s">
        <v>23</v>
      </c>
      <c r="J205" s="22" t="s">
        <v>23</v>
      </c>
      <c r="K205" s="38"/>
      <c r="L205" s="22"/>
      <c r="M205" s="286">
        <f t="shared" ca="1" si="10"/>
        <v>5.3999999999999986</v>
      </c>
      <c r="N205" s="23" t="s">
        <v>510</v>
      </c>
      <c r="O205" s="23"/>
      <c r="P205" s="23" t="s">
        <v>584</v>
      </c>
      <c r="Q205" s="144"/>
      <c r="R205" s="137">
        <f>Total_Screens</f>
        <v>0</v>
      </c>
      <c r="S205" s="169">
        <f t="shared" si="11"/>
        <v>0</v>
      </c>
      <c r="T205" s="170"/>
      <c r="U205" s="24">
        <v>0</v>
      </c>
      <c r="V205" s="24">
        <v>1</v>
      </c>
      <c r="W205" s="24">
        <v>0</v>
      </c>
      <c r="X205" s="168"/>
      <c r="Y205" s="169">
        <f t="shared" si="12"/>
        <v>0</v>
      </c>
      <c r="Z205" s="25"/>
      <c r="AA205" s="169">
        <f t="shared" si="13"/>
        <v>0</v>
      </c>
      <c r="AB205" s="23"/>
      <c r="AC205" s="37"/>
      <c r="AD205" s="26" t="str">
        <f t="shared" si="14"/>
        <v>Error: Effort value is not defined or is invalid.</v>
      </c>
    </row>
    <row r="206" spans="1:30" ht="43.2" hidden="1" outlineLevel="2" x14ac:dyDescent="0.3">
      <c r="A206" s="93" t="s">
        <v>0</v>
      </c>
      <c r="B206" s="21"/>
      <c r="C206" s="85"/>
      <c r="D206" s="85"/>
      <c r="E206" s="85"/>
      <c r="F206" s="86"/>
      <c r="G206" s="22" t="s">
        <v>6</v>
      </c>
      <c r="H206" s="22" t="s">
        <v>23</v>
      </c>
      <c r="I206" s="23" t="s">
        <v>23</v>
      </c>
      <c r="J206" s="22" t="s">
        <v>23</v>
      </c>
      <c r="K206" s="38"/>
      <c r="L206" s="22"/>
      <c r="M206" s="286">
        <f t="shared" ca="1" si="10"/>
        <v>5.4999999999999982</v>
      </c>
      <c r="N206" s="23" t="s">
        <v>586</v>
      </c>
      <c r="O206" s="23"/>
      <c r="P206" s="23" t="s">
        <v>588</v>
      </c>
      <c r="Q206" s="144"/>
      <c r="R206" s="137"/>
      <c r="S206" s="169">
        <f t="shared" si="11"/>
        <v>0</v>
      </c>
      <c r="T206" s="170"/>
      <c r="U206" s="24">
        <v>0</v>
      </c>
      <c r="V206" s="24">
        <v>1</v>
      </c>
      <c r="W206" s="24">
        <v>0</v>
      </c>
      <c r="X206" s="168"/>
      <c r="Y206" s="169">
        <f t="shared" si="12"/>
        <v>0</v>
      </c>
      <c r="Z206" s="25"/>
      <c r="AA206" s="169">
        <f t="shared" si="13"/>
        <v>0</v>
      </c>
      <c r="AB206" s="23"/>
      <c r="AC206" s="37"/>
      <c r="AD206" s="26" t="str">
        <f t="shared" si="14"/>
        <v>Error: Effort value is not defined or is invalid.</v>
      </c>
    </row>
    <row r="207" spans="1:30" ht="43.2" hidden="1" outlineLevel="2" x14ac:dyDescent="0.3">
      <c r="A207" s="93" t="s">
        <v>0</v>
      </c>
      <c r="B207" s="21"/>
      <c r="C207" s="85"/>
      <c r="D207" s="85"/>
      <c r="E207" s="85"/>
      <c r="F207" s="86"/>
      <c r="G207" s="22" t="s">
        <v>6</v>
      </c>
      <c r="H207" s="22" t="s">
        <v>23</v>
      </c>
      <c r="I207" s="23" t="s">
        <v>23</v>
      </c>
      <c r="J207" s="22" t="s">
        <v>23</v>
      </c>
      <c r="K207" s="38"/>
      <c r="L207" s="22"/>
      <c r="M207" s="286">
        <f t="shared" ca="1" si="10"/>
        <v>5.5999999999999979</v>
      </c>
      <c r="N207" s="23" t="s">
        <v>587</v>
      </c>
      <c r="O207" s="23"/>
      <c r="P207" s="23" t="s">
        <v>588</v>
      </c>
      <c r="Q207" s="144"/>
      <c r="R207" s="137"/>
      <c r="S207" s="169">
        <f t="shared" si="11"/>
        <v>0</v>
      </c>
      <c r="T207" s="170"/>
      <c r="U207" s="24">
        <v>0</v>
      </c>
      <c r="V207" s="24">
        <v>1</v>
      </c>
      <c r="W207" s="24">
        <v>0</v>
      </c>
      <c r="X207" s="168"/>
      <c r="Y207" s="169">
        <f t="shared" si="12"/>
        <v>0</v>
      </c>
      <c r="Z207" s="25"/>
      <c r="AA207" s="169">
        <f t="shared" si="13"/>
        <v>0</v>
      </c>
      <c r="AB207" s="23"/>
      <c r="AC207" s="37"/>
      <c r="AD207" s="26" t="str">
        <f t="shared" si="14"/>
        <v>Error: Effort value is not defined or is invalid.</v>
      </c>
    </row>
    <row r="208" spans="1:30" s="11" customFormat="1" ht="7.5" hidden="1" customHeight="1" outlineLevel="2" x14ac:dyDescent="0.3">
      <c r="A208" s="93" t="s">
        <v>132</v>
      </c>
      <c r="B208" s="18"/>
      <c r="C208" s="78"/>
      <c r="D208" s="78"/>
      <c r="E208" s="78"/>
      <c r="F208" s="78"/>
      <c r="G208" s="10"/>
      <c r="H208" s="10"/>
      <c r="I208" s="10"/>
      <c r="J208" s="10"/>
      <c r="K208" s="10"/>
      <c r="L208" s="10"/>
      <c r="M208" s="287"/>
      <c r="N208" s="10"/>
      <c r="O208" s="10"/>
      <c r="P208" s="10"/>
      <c r="Q208" s="10"/>
      <c r="R208" s="10"/>
      <c r="S208" s="10"/>
      <c r="T208" s="18"/>
      <c r="U208" s="10"/>
      <c r="V208" s="10"/>
      <c r="W208" s="10"/>
      <c r="X208" s="18"/>
      <c r="Y208" s="10"/>
      <c r="Z208" s="10"/>
      <c r="AA208" s="10"/>
      <c r="AB208" s="60"/>
      <c r="AC208" s="60"/>
      <c r="AD208" s="12"/>
    </row>
    <row r="209" spans="1:30" s="11" customFormat="1" ht="3" hidden="1" customHeight="1" outlineLevel="1" x14ac:dyDescent="0.3">
      <c r="A209" s="93" t="s">
        <v>102</v>
      </c>
      <c r="B209" s="10"/>
      <c r="C209" s="78"/>
      <c r="D209" s="78"/>
      <c r="E209" s="78"/>
      <c r="F209" s="78"/>
      <c r="G209" s="59"/>
      <c r="H209" s="59"/>
      <c r="I209" s="59"/>
      <c r="J209" s="59"/>
      <c r="K209" s="59"/>
      <c r="L209" s="61"/>
      <c r="M209" s="288"/>
      <c r="N209" s="62"/>
      <c r="O209" s="62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2"/>
      <c r="AC209" s="62"/>
      <c r="AD209" s="12"/>
    </row>
    <row r="210" spans="1:30" s="17" customFormat="1" ht="18" collapsed="1" x14ac:dyDescent="0.3">
      <c r="A210" s="93" t="s">
        <v>98</v>
      </c>
      <c r="B210" s="14"/>
      <c r="C210" s="79"/>
      <c r="D210" s="79"/>
      <c r="E210" s="79"/>
      <c r="F210" s="78"/>
      <c r="G210" s="55"/>
      <c r="H210" s="55"/>
      <c r="I210" s="55"/>
      <c r="J210" s="55"/>
      <c r="K210" s="55"/>
      <c r="L210" s="55" t="s">
        <v>71</v>
      </c>
      <c r="M210" s="284" t="s">
        <v>75</v>
      </c>
      <c r="N210" s="56"/>
      <c r="O210" s="57"/>
      <c r="P210" s="58"/>
      <c r="Q210" s="58"/>
      <c r="R210" s="58"/>
      <c r="S210" s="302">
        <f>CEILING(SUMIF(J211:J232, "&lt;&gt;Yes", T211:T232),1)</f>
        <v>45</v>
      </c>
      <c r="T210" s="302"/>
      <c r="U210" s="58"/>
      <c r="V210" s="58"/>
      <c r="W210" s="58"/>
      <c r="X210" s="58"/>
      <c r="Y210" s="58"/>
      <c r="Z210" s="58"/>
      <c r="AA210" s="58"/>
      <c r="AB210" s="58"/>
      <c r="AC210" s="58"/>
      <c r="AD210" s="16"/>
    </row>
    <row r="211" spans="1:30" s="11" customFormat="1" ht="3" hidden="1" customHeight="1" outlineLevel="1" x14ac:dyDescent="0.3">
      <c r="A211" s="93" t="s">
        <v>99</v>
      </c>
      <c r="B211" s="18"/>
      <c r="C211" s="78"/>
      <c r="D211" s="78"/>
      <c r="E211" s="78"/>
      <c r="F211" s="78"/>
      <c r="G211" s="28"/>
      <c r="H211" s="28"/>
      <c r="I211" s="28"/>
      <c r="J211" s="28"/>
      <c r="K211" s="28"/>
      <c r="L211" s="29">
        <v>0</v>
      </c>
      <c r="M211" s="285"/>
      <c r="N211" s="28"/>
      <c r="O211" s="28"/>
      <c r="P211" s="28"/>
      <c r="Q211" s="28"/>
      <c r="R211" s="28"/>
      <c r="S211" s="28"/>
      <c r="T211" s="30"/>
      <c r="U211" s="28"/>
      <c r="V211" s="28"/>
      <c r="W211" s="28"/>
      <c r="X211" s="30"/>
      <c r="Y211" s="28"/>
      <c r="Z211" s="28"/>
      <c r="AA211" s="28"/>
      <c r="AB211" s="31"/>
      <c r="AC211" s="31"/>
      <c r="AD211" s="12"/>
    </row>
    <row r="212" spans="1:30" s="17" customFormat="1" ht="15.6" hidden="1" outlineLevel="1" collapsed="1" x14ac:dyDescent="0.3">
      <c r="A212" s="93" t="s">
        <v>100</v>
      </c>
      <c r="B212" s="21"/>
      <c r="C212" s="84"/>
      <c r="D212" s="84"/>
      <c r="E212" s="84"/>
      <c r="F212" s="83"/>
      <c r="G212" s="32"/>
      <c r="H212" s="32"/>
      <c r="I212" s="32"/>
      <c r="J212" s="32"/>
      <c r="K212" s="32"/>
      <c r="L212" s="20">
        <f ca="1">LOOKUP(1000,INDIRECT("L1:"&amp;CELL("address",INDIRECT("R[-1]C",FALSE))))+1</f>
        <v>1</v>
      </c>
      <c r="M212" s="301" t="s">
        <v>514</v>
      </c>
      <c r="N212" s="301"/>
      <c r="O212" s="5"/>
      <c r="P212" s="33"/>
      <c r="Q212" s="33"/>
      <c r="R212" s="33"/>
      <c r="S212" s="33"/>
      <c r="T212" s="167">
        <f>IF($S$6="Exclude", SUMIFS(S213:S216, J213:J216, "&lt;&gt;Yes", G213:G216, "&lt;&gt;Yes"), SUMIFS(S213:S216, J213:J216, "&lt;&gt;Yes"))</f>
        <v>0</v>
      </c>
      <c r="U212" s="33"/>
      <c r="V212" s="33"/>
      <c r="W212" s="33"/>
      <c r="X212" s="34"/>
      <c r="Y212" s="35"/>
      <c r="Z212" s="35"/>
      <c r="AA212" s="35"/>
      <c r="AB212" s="240"/>
      <c r="AC212" s="36"/>
      <c r="AD212" s="26" t="str">
        <f>IF(M212="", "Error: Task name cannot be empty.", "")</f>
        <v/>
      </c>
    </row>
    <row r="213" spans="1:30" s="15" customFormat="1" ht="1.5" hidden="1" customHeight="1" outlineLevel="2" x14ac:dyDescent="0.3">
      <c r="A213" s="93" t="s">
        <v>101</v>
      </c>
      <c r="B213" s="21"/>
      <c r="C213" s="84"/>
      <c r="D213" s="84"/>
      <c r="E213" s="84"/>
      <c r="F213" s="83"/>
      <c r="G213" s="32"/>
      <c r="H213" s="32"/>
      <c r="I213" s="32"/>
      <c r="J213" s="32"/>
      <c r="K213" s="32"/>
      <c r="L213" s="175">
        <f ca="1">L212</f>
        <v>1</v>
      </c>
      <c r="M213" s="176" t="s">
        <v>105</v>
      </c>
      <c r="N213" s="173"/>
      <c r="O213" s="174"/>
      <c r="P213" s="33"/>
      <c r="Q213" s="33"/>
      <c r="R213" s="33"/>
      <c r="S213" s="33"/>
      <c r="T213" s="167"/>
      <c r="U213" s="33"/>
      <c r="V213" s="33"/>
      <c r="W213" s="33"/>
      <c r="X213" s="34"/>
      <c r="Y213" s="35"/>
      <c r="Z213" s="35"/>
      <c r="AA213" s="35"/>
      <c r="AB213" s="36"/>
      <c r="AC213" s="36"/>
      <c r="AD213" s="26"/>
    </row>
    <row r="214" spans="1:30" ht="43.2" hidden="1" outlineLevel="2" x14ac:dyDescent="0.3">
      <c r="A214" s="93" t="s">
        <v>0</v>
      </c>
      <c r="B214" s="21"/>
      <c r="C214" s="85"/>
      <c r="D214" s="85"/>
      <c r="E214" s="85"/>
      <c r="F214" s="86"/>
      <c r="G214" s="22" t="s">
        <v>23</v>
      </c>
      <c r="H214" s="22" t="s">
        <v>23</v>
      </c>
      <c r="I214" s="23" t="s">
        <v>23</v>
      </c>
      <c r="J214" s="22" t="s">
        <v>23</v>
      </c>
      <c r="K214" s="38"/>
      <c r="L214" s="22"/>
      <c r="M214" s="286" t="str">
        <f ca="1">IFERROR(OFFSET(M214,-1,,1,1)+0.1,OFFSET(M214,-1,-1,1,1)&amp;".1")</f>
        <v>1.1</v>
      </c>
      <c r="N214" s="23" t="s">
        <v>515</v>
      </c>
      <c r="O214" s="23"/>
      <c r="P214" s="23" t="s">
        <v>520</v>
      </c>
      <c r="Q214" s="144">
        <v>10</v>
      </c>
      <c r="R214" s="137"/>
      <c r="S214" s="169">
        <f>CEILING((IF(J214="Yes", 0, IF(H214="-",AA214,AA214+AA214*VLOOKUP(H214,BUFFERS_BY_TYPE,2,FALSE)))) +
   (IF(J214="Yes", 0, IF(H214="-",AA214,AA214+AA214*VLOOKUP(H214,BUFFERS_BY_TYPE,2,FALSE))))*VLOOKUP($S$5, SALES_CALL_SCALE_ARRAY, 2,FALSE),0.25)</f>
        <v>0</v>
      </c>
      <c r="T214" s="170"/>
      <c r="U214" s="24">
        <v>0</v>
      </c>
      <c r="V214" s="24">
        <v>1</v>
      </c>
      <c r="W214" s="24">
        <v>0</v>
      </c>
      <c r="X214" s="168"/>
      <c r="Y214" s="169">
        <f>CEILING((IF(P214=AS_DEV_EFFORT, DEV_EFFORT*Q214%,
                           IF(P214=AS_DURATION_EFFORT, (MANUAL_DURATION*5)*Q214%,
                                    (IF(Q214&lt;=1,X214,
                                          IF(SUM(U214:W214)=0,(Q214*X214),
                                               (((Q214*U214)*(X214+(X214*EXTRA_FOR_H)))+
                                               ((Q214*V214)*X214)+
                                               ((Q214*W214)*(X214-(X214*LESS_FOR_L)))
                                    )*IF(R214=0,1,R214))))))+Z214), 0.25)</f>
        <v>0</v>
      </c>
      <c r="Z214" s="25"/>
      <c r="AA214" s="169">
        <f>Y214+Y214*VLOOKUP(I214,EXTRAS_ARRAY,2,FALSE)</f>
        <v>0</v>
      </c>
      <c r="AB214" s="23"/>
      <c r="AC214" s="37"/>
      <c r="AD214" s="26" t="str">
        <f>IF(J214&lt;&gt;"Yes",
IF(S214&lt;=0,"Error: Effort value is not defined or is invalid.",
IF(AND(SUM(U214:W214)&gt;0,SUM(U214:W214)&lt;&gt;1),"Error: Complexity % distribution should sum to 100%.",
IF(AND(P214=AS_DEV_EFFORT,X214&lt;&gt;0),"Error: PDs should not be defined when defining as dev effort %.",
IF(AND(P214=AS_DURATION_EFFORT,X214&lt;&gt;0),"Error: PDs should not be defined when defining as duration effort %.","")))))</f>
        <v>Error: Effort value is not defined or is invalid.</v>
      </c>
    </row>
    <row r="215" spans="1:30" ht="43.2" hidden="1" outlineLevel="2" x14ac:dyDescent="0.3">
      <c r="A215" s="93" t="s">
        <v>0</v>
      </c>
      <c r="B215" s="21"/>
      <c r="C215" s="85"/>
      <c r="D215" s="85"/>
      <c r="E215" s="85"/>
      <c r="F215" s="86"/>
      <c r="G215" s="22" t="s">
        <v>23</v>
      </c>
      <c r="H215" s="22" t="s">
        <v>23</v>
      </c>
      <c r="I215" s="23" t="s">
        <v>23</v>
      </c>
      <c r="J215" s="22" t="s">
        <v>23</v>
      </c>
      <c r="K215" s="38"/>
      <c r="L215" s="22"/>
      <c r="M215" s="286">
        <f ca="1">IFERROR(OFFSET(M215,-1,,1,1)+0.1,OFFSET(M215,-1,-1,1,1)&amp;".1")</f>
        <v>1.2000000000000002</v>
      </c>
      <c r="N215" s="23" t="s">
        <v>516</v>
      </c>
      <c r="O215" s="23"/>
      <c r="P215" s="23" t="s">
        <v>519</v>
      </c>
      <c r="Q215" s="144">
        <v>5</v>
      </c>
      <c r="R215" s="137"/>
      <c r="S215" s="169">
        <f>CEILING((IF(J215="Yes", 0, IF(H215="-",AA215,AA215+AA215*VLOOKUP(H215,BUFFERS_BY_TYPE,2,FALSE)))) +
   (IF(J215="Yes", 0, IF(H215="-",AA215,AA215+AA215*VLOOKUP(H215,BUFFERS_BY_TYPE,2,FALSE))))*VLOOKUP($S$5, SALES_CALL_SCALE_ARRAY, 2,FALSE),0.25)</f>
        <v>0</v>
      </c>
      <c r="T215" s="170"/>
      <c r="U215" s="24">
        <v>0</v>
      </c>
      <c r="V215" s="24">
        <v>1</v>
      </c>
      <c r="W215" s="24">
        <v>0</v>
      </c>
      <c r="X215" s="168"/>
      <c r="Y215" s="169">
        <f>CEILING((IF(P215=AS_DEV_EFFORT, DEV_EFFORT*Q215%,
                           IF(P215=AS_DURATION_EFFORT, (MANUAL_DURATION*5)*Q215%,
                                    (IF(Q215&lt;=1,X215,
                                          IF(SUM(U215:W215)=0,(Q215*X215),
                                               (((Q215*U215)*(X215+(X215*EXTRA_FOR_H)))+
                                               ((Q215*V215)*X215)+
                                               ((Q215*W215)*(X215-(X215*LESS_FOR_L)))
                                    )*IF(R215=0,1,R215))))))+Z215), 0.25)</f>
        <v>0</v>
      </c>
      <c r="Z215" s="25"/>
      <c r="AA215" s="169">
        <f>Y215+Y215*VLOOKUP(I215,EXTRAS_ARRAY,2,FALSE)</f>
        <v>0</v>
      </c>
      <c r="AB215" s="23"/>
      <c r="AC215" s="37"/>
      <c r="AD215" s="26" t="str">
        <f>IF(J215&lt;&gt;"Yes",
IF(S215&lt;=0,"Error: Effort value is not defined or is invalid.",
IF(AND(SUM(U215:W215)&gt;0,SUM(U215:W215)&lt;&gt;1),"Error: Complexity % distribution should sum to 100%.",
IF(AND(P215=AS_DEV_EFFORT,X215&lt;&gt;0),"Error: PDs should not be defined when defining as dev effort %.",
IF(AND(P215=AS_DURATION_EFFORT,X215&lt;&gt;0),"Error: PDs should not be defined when defining as duration effort %.","")))))</f>
        <v>Error: Effort value is not defined or is invalid.</v>
      </c>
    </row>
    <row r="216" spans="1:30" s="11" customFormat="1" ht="7.5" hidden="1" customHeight="1" outlineLevel="2" x14ac:dyDescent="0.3">
      <c r="A216" s="93" t="s">
        <v>132</v>
      </c>
      <c r="B216" s="18"/>
      <c r="C216" s="78"/>
      <c r="D216" s="78"/>
      <c r="E216" s="78"/>
      <c r="F216" s="78"/>
      <c r="G216" s="10"/>
      <c r="H216" s="10"/>
      <c r="I216" s="10"/>
      <c r="J216" s="10"/>
      <c r="K216" s="10"/>
      <c r="L216" s="10"/>
      <c r="M216" s="287"/>
      <c r="N216" s="10"/>
      <c r="O216" s="10"/>
      <c r="P216" s="10"/>
      <c r="Q216" s="10"/>
      <c r="R216" s="10"/>
      <c r="S216" s="10"/>
      <c r="T216" s="18"/>
      <c r="U216" s="10"/>
      <c r="V216" s="10"/>
      <c r="W216" s="10"/>
      <c r="X216" s="18"/>
      <c r="Y216" s="10"/>
      <c r="Z216" s="10"/>
      <c r="AA216" s="10"/>
      <c r="AB216" s="60"/>
      <c r="AC216" s="60"/>
      <c r="AD216" s="12"/>
    </row>
    <row r="217" spans="1:30" s="17" customFormat="1" ht="15.6" hidden="1" outlineLevel="1" collapsed="1" x14ac:dyDescent="0.3">
      <c r="A217" s="93" t="s">
        <v>100</v>
      </c>
      <c r="B217" s="21"/>
      <c r="C217" s="84"/>
      <c r="D217" s="84"/>
      <c r="E217" s="84"/>
      <c r="F217" s="83"/>
      <c r="G217" s="32"/>
      <c r="H217" s="32"/>
      <c r="I217" s="32"/>
      <c r="J217" s="32"/>
      <c r="K217" s="32"/>
      <c r="L217" s="20">
        <f ca="1">LOOKUP(1000,INDIRECT("L1:"&amp;CELL("address",INDIRECT("R[-1]C",FALSE))))+1</f>
        <v>2</v>
      </c>
      <c r="M217" s="301" t="s">
        <v>517</v>
      </c>
      <c r="N217" s="301"/>
      <c r="O217" s="5"/>
      <c r="P217" s="33"/>
      <c r="Q217" s="33"/>
      <c r="R217" s="33"/>
      <c r="S217" s="33"/>
      <c r="T217" s="167">
        <f>IF($S$6="Exclude", SUMIFS(S218:S220, J218:J220, "&lt;&gt;Yes", G218:G220, "&lt;&gt;Yes"), SUMIFS(S218:S220, J218:J220, "&lt;&gt;Yes"))</f>
        <v>40</v>
      </c>
      <c r="U217" s="33"/>
      <c r="V217" s="33"/>
      <c r="W217" s="33"/>
      <c r="X217" s="34"/>
      <c r="Y217" s="35"/>
      <c r="Z217" s="35"/>
      <c r="AA217" s="35"/>
      <c r="AB217" s="240"/>
      <c r="AC217" s="36"/>
      <c r="AD217" s="26" t="str">
        <f>IF(M217="", "Error: Task name cannot be empty.", "")</f>
        <v/>
      </c>
    </row>
    <row r="218" spans="1:30" s="15" customFormat="1" ht="1.5" hidden="1" customHeight="1" outlineLevel="2" x14ac:dyDescent="0.3">
      <c r="A218" s="93" t="s">
        <v>101</v>
      </c>
      <c r="B218" s="21"/>
      <c r="C218" s="84"/>
      <c r="D218" s="84"/>
      <c r="E218" s="84"/>
      <c r="F218" s="83"/>
      <c r="G218" s="32"/>
      <c r="H218" s="32"/>
      <c r="I218" s="32"/>
      <c r="J218" s="32"/>
      <c r="K218" s="32"/>
      <c r="L218" s="175">
        <f ca="1">L217</f>
        <v>2</v>
      </c>
      <c r="M218" s="176" t="s">
        <v>105</v>
      </c>
      <c r="N218" s="173"/>
      <c r="O218" s="174"/>
      <c r="P218" s="33"/>
      <c r="Q218" s="33"/>
      <c r="R218" s="33"/>
      <c r="S218" s="33"/>
      <c r="T218" s="167"/>
      <c r="U218" s="33"/>
      <c r="V218" s="33"/>
      <c r="W218" s="33"/>
      <c r="X218" s="34"/>
      <c r="Y218" s="35"/>
      <c r="Z218" s="35"/>
      <c r="AA218" s="35"/>
      <c r="AB218" s="36"/>
      <c r="AC218" s="36"/>
      <c r="AD218" s="26"/>
    </row>
    <row r="219" spans="1:30" ht="57.6" hidden="1" outlineLevel="2" x14ac:dyDescent="0.3">
      <c r="A219" s="93" t="s">
        <v>0</v>
      </c>
      <c r="B219" s="21"/>
      <c r="C219" s="85"/>
      <c r="D219" s="85"/>
      <c r="E219" s="85"/>
      <c r="F219" s="86"/>
      <c r="G219" s="22" t="s">
        <v>23</v>
      </c>
      <c r="H219" s="22" t="s">
        <v>23</v>
      </c>
      <c r="I219" s="23" t="s">
        <v>23</v>
      </c>
      <c r="J219" s="22" t="s">
        <v>23</v>
      </c>
      <c r="K219" s="38"/>
      <c r="L219" s="22"/>
      <c r="M219" s="286" t="str">
        <f ca="1">IFERROR(OFFSET(M219,-1,,1,1)+0.1,OFFSET(M219,-1,-1,1,1)&amp;".1")</f>
        <v>2.1</v>
      </c>
      <c r="N219" s="23" t="s">
        <v>518</v>
      </c>
      <c r="O219" s="23"/>
      <c r="P219" s="23" t="s">
        <v>533</v>
      </c>
      <c r="Q219" s="144">
        <v>2</v>
      </c>
      <c r="R219" s="137">
        <v>4</v>
      </c>
      <c r="S219" s="169">
        <f>CEILING((IF(J219="Yes", 0, IF(H219="-",AA219,AA219+AA219*VLOOKUP(H219,BUFFERS_BY_TYPE,2,FALSE)))) +
   (IF(J219="Yes", 0, IF(H219="-",AA219,AA219+AA219*VLOOKUP(H219,BUFFERS_BY_TYPE,2,FALSE))))*VLOOKUP($S$5, SALES_CALL_SCALE_ARRAY, 2,FALSE),0.25)</f>
        <v>40</v>
      </c>
      <c r="T219" s="170"/>
      <c r="U219" s="24">
        <v>0</v>
      </c>
      <c r="V219" s="24">
        <v>1</v>
      </c>
      <c r="W219" s="24">
        <v>0</v>
      </c>
      <c r="X219" s="168">
        <v>5</v>
      </c>
      <c r="Y219" s="169">
        <f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40</v>
      </c>
      <c r="Z219" s="25"/>
      <c r="AA219" s="169">
        <f>Y219+Y219*VLOOKUP(I219,EXTRAS_ARRAY,2,FALSE)</f>
        <v>40</v>
      </c>
      <c r="AB219" s="23" t="s">
        <v>534</v>
      </c>
      <c r="AC219" s="37"/>
      <c r="AD219" s="26" t="str">
        <f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s="11" customFormat="1" ht="7.5" hidden="1" customHeight="1" outlineLevel="2" x14ac:dyDescent="0.3">
      <c r="A220" s="93" t="s">
        <v>132</v>
      </c>
      <c r="B220" s="18"/>
      <c r="C220" s="78"/>
      <c r="D220" s="78"/>
      <c r="E220" s="78"/>
      <c r="F220" s="78"/>
      <c r="G220" s="10"/>
      <c r="H220" s="10"/>
      <c r="I220" s="10"/>
      <c r="J220" s="10"/>
      <c r="K220" s="10"/>
      <c r="L220" s="10"/>
      <c r="M220" s="287"/>
      <c r="N220" s="10"/>
      <c r="O220" s="10"/>
      <c r="P220" s="10"/>
      <c r="Q220" s="10"/>
      <c r="R220" s="10"/>
      <c r="S220" s="10"/>
      <c r="T220" s="18"/>
      <c r="U220" s="10"/>
      <c r="V220" s="10"/>
      <c r="W220" s="10"/>
      <c r="X220" s="18"/>
      <c r="Y220" s="10"/>
      <c r="Z220" s="10"/>
      <c r="AA220" s="10"/>
      <c r="AB220" s="60"/>
      <c r="AC220" s="60"/>
      <c r="AD220" s="12"/>
    </row>
    <row r="221" spans="1:30" s="17" customFormat="1" ht="15.6" hidden="1" outlineLevel="1" collapsed="1" x14ac:dyDescent="0.3">
      <c r="A221" s="93" t="s">
        <v>100</v>
      </c>
      <c r="B221" s="21"/>
      <c r="C221" s="84"/>
      <c r="D221" s="84"/>
      <c r="E221" s="84"/>
      <c r="F221" s="83"/>
      <c r="G221" s="32"/>
      <c r="H221" s="32"/>
      <c r="I221" s="32"/>
      <c r="J221" s="32"/>
      <c r="K221" s="32"/>
      <c r="L221" s="20">
        <f ca="1">LOOKUP(1000,INDIRECT("L1:"&amp;CELL("address",INDIRECT("R[-1]C",FALSE))))+1</f>
        <v>3</v>
      </c>
      <c r="M221" s="301" t="s">
        <v>521</v>
      </c>
      <c r="N221" s="301"/>
      <c r="O221" s="5"/>
      <c r="P221" s="33"/>
      <c r="Q221" s="33"/>
      <c r="R221" s="33"/>
      <c r="S221" s="33"/>
      <c r="T221" s="167">
        <f>IF($S$6="Exclude", SUMIFS(S222:S224, J222:J224, "&lt;&gt;Yes", G222:G224, "&lt;&gt;Yes"), SUMIFS(S222:S224, J222:J224, "&lt;&gt;Yes"))</f>
        <v>5</v>
      </c>
      <c r="U221" s="33"/>
      <c r="V221" s="33"/>
      <c r="W221" s="33"/>
      <c r="X221" s="34"/>
      <c r="Y221" s="35"/>
      <c r="Z221" s="35"/>
      <c r="AA221" s="35"/>
      <c r="AB221" s="240"/>
      <c r="AC221" s="36"/>
      <c r="AD221" s="26" t="str">
        <f>IF(M221="", "Error: Task name cannot be empty.", "")</f>
        <v/>
      </c>
    </row>
    <row r="222" spans="1:30" s="15" customFormat="1" ht="1.5" hidden="1" customHeight="1" outlineLevel="2" x14ac:dyDescent="0.3">
      <c r="A222" s="93" t="s">
        <v>101</v>
      </c>
      <c r="B222" s="21"/>
      <c r="C222" s="84"/>
      <c r="D222" s="84"/>
      <c r="E222" s="84"/>
      <c r="F222" s="83"/>
      <c r="G222" s="32"/>
      <c r="H222" s="32"/>
      <c r="I222" s="32"/>
      <c r="J222" s="32"/>
      <c r="K222" s="32"/>
      <c r="L222" s="175">
        <f ca="1">L221</f>
        <v>3</v>
      </c>
      <c r="M222" s="176" t="s">
        <v>105</v>
      </c>
      <c r="N222" s="173"/>
      <c r="O222" s="174"/>
      <c r="P222" s="33"/>
      <c r="Q222" s="33"/>
      <c r="R222" s="33"/>
      <c r="S222" s="33"/>
      <c r="T222" s="167"/>
      <c r="U222" s="33"/>
      <c r="V222" s="33"/>
      <c r="W222" s="33"/>
      <c r="X222" s="34"/>
      <c r="Y222" s="35"/>
      <c r="Z222" s="35"/>
      <c r="AA222" s="35"/>
      <c r="AB222" s="36"/>
      <c r="AC222" s="36"/>
      <c r="AD222" s="26"/>
    </row>
    <row r="223" spans="1:30" ht="43.2" hidden="1" outlineLevel="2" x14ac:dyDescent="0.3">
      <c r="A223" s="93" t="s">
        <v>0</v>
      </c>
      <c r="B223" s="21"/>
      <c r="C223" s="85"/>
      <c r="D223" s="85"/>
      <c r="E223" s="85"/>
      <c r="F223" s="86"/>
      <c r="G223" s="22" t="s">
        <v>23</v>
      </c>
      <c r="H223" s="22" t="s">
        <v>23</v>
      </c>
      <c r="I223" s="23" t="s">
        <v>23</v>
      </c>
      <c r="J223" s="22" t="s">
        <v>23</v>
      </c>
      <c r="K223" s="38"/>
      <c r="L223" s="22"/>
      <c r="M223" s="286" t="str">
        <f ca="1">IFERROR(OFFSET(M223,-1,,1,1)+0.1,OFFSET(M223,-1,-1,1,1)&amp;".1")</f>
        <v>3.1</v>
      </c>
      <c r="N223" s="23" t="s">
        <v>522</v>
      </c>
      <c r="O223" s="23"/>
      <c r="P223" s="23" t="s">
        <v>533</v>
      </c>
      <c r="Q223" s="144">
        <v>1</v>
      </c>
      <c r="R223" s="137">
        <v>2</v>
      </c>
      <c r="S223" s="169">
        <f>CEILING((IF(J223="Yes", 0, IF(H223="-",AA223,AA223+AA223*VLOOKUP(H223,BUFFERS_BY_TYPE,2,FALSE)))) +
   (IF(J223="Yes", 0, IF(H223="-",AA223,AA223+AA223*VLOOKUP(H223,BUFFERS_BY_TYPE,2,FALSE))))*VLOOKUP($S$5, SALES_CALL_SCALE_ARRAY, 2,FALSE),0.25)</f>
        <v>5</v>
      </c>
      <c r="T223" s="170"/>
      <c r="U223" s="24">
        <v>0</v>
      </c>
      <c r="V223" s="24">
        <v>1</v>
      </c>
      <c r="W223" s="24">
        <v>0</v>
      </c>
      <c r="X223" s="168">
        <v>5</v>
      </c>
      <c r="Y223" s="169">
        <f>CEILING((IF(P223=AS_DEV_EFFORT, DEV_EFFORT*Q223%,
                           IF(P223=AS_DURATION_EFFORT, (MANUAL_DURATION*5)*Q223%,
                                    (IF(Q223&lt;=1,X223,
                                          IF(SUM(U223:W223)=0,(Q223*X223),
                                               (((Q223*U223)*(X223+(X223*EXTRA_FOR_H)))+
                                               ((Q223*V223)*X223)+
                                               ((Q223*W223)*(X223-(X223*LESS_FOR_L)))
                                    )*IF(R223=0,1,R223))))))+Z223), 0.25)</f>
        <v>5</v>
      </c>
      <c r="Z223" s="25"/>
      <c r="AA223" s="169">
        <f>Y223+Y223*VLOOKUP(I223,EXTRAS_ARRAY,2,FALSE)</f>
        <v>5</v>
      </c>
      <c r="AB223" s="23" t="s">
        <v>535</v>
      </c>
      <c r="AC223" s="37"/>
      <c r="AD223" s="26" t="str">
        <f>IF(J223&lt;&gt;"Yes",
IF(S223&lt;=0,"Error: Effort value is not defined or is invalid.",
IF(AND(SUM(U223:W223)&gt;0,SUM(U223:W223)&lt;&gt;1),"Error: Complexity % distribution should sum to 100%.",
IF(AND(P223=AS_DEV_EFFORT,X223&lt;&gt;0),"Error: PDs should not be defined when defining as dev effort %.",
IF(AND(P223=AS_DURATION_EFFORT,X223&lt;&gt;0),"Error: PDs should not be defined when defining as duration effort %.","")))))</f>
        <v/>
      </c>
    </row>
    <row r="224" spans="1:30" s="11" customFormat="1" ht="7.5" hidden="1" customHeight="1" outlineLevel="2" x14ac:dyDescent="0.3">
      <c r="A224" s="93" t="s">
        <v>132</v>
      </c>
      <c r="B224" s="18"/>
      <c r="C224" s="78"/>
      <c r="D224" s="78"/>
      <c r="E224" s="78"/>
      <c r="F224" s="78"/>
      <c r="G224" s="10"/>
      <c r="H224" s="10"/>
      <c r="I224" s="10"/>
      <c r="J224" s="10"/>
      <c r="K224" s="10"/>
      <c r="L224" s="10"/>
      <c r="M224" s="287"/>
      <c r="N224" s="10"/>
      <c r="O224" s="10"/>
      <c r="P224" s="10"/>
      <c r="Q224" s="10"/>
      <c r="R224" s="10"/>
      <c r="S224" s="10"/>
      <c r="T224" s="18"/>
      <c r="U224" s="10"/>
      <c r="V224" s="10"/>
      <c r="W224" s="10"/>
      <c r="X224" s="18"/>
      <c r="Y224" s="10"/>
      <c r="Z224" s="10"/>
      <c r="AA224" s="10"/>
      <c r="AB224" s="60"/>
      <c r="AC224" s="60"/>
      <c r="AD224" s="12"/>
    </row>
    <row r="225" spans="1:30" s="17" customFormat="1" ht="15.6" hidden="1" outlineLevel="1" collapsed="1" x14ac:dyDescent="0.3">
      <c r="A225" s="93" t="s">
        <v>100</v>
      </c>
      <c r="B225" s="21"/>
      <c r="C225" s="84"/>
      <c r="D225" s="84"/>
      <c r="E225" s="84"/>
      <c r="F225" s="83"/>
      <c r="G225" s="32"/>
      <c r="H225" s="32"/>
      <c r="I225" s="32"/>
      <c r="J225" s="32"/>
      <c r="K225" s="32"/>
      <c r="L225" s="20">
        <f ca="1">LOOKUP(1000,INDIRECT("L1:"&amp;CELL("address",INDIRECT("R[-1]C",FALSE))))+1</f>
        <v>4</v>
      </c>
      <c r="M225" s="301" t="s">
        <v>523</v>
      </c>
      <c r="N225" s="301"/>
      <c r="O225" s="5"/>
      <c r="P225" s="33"/>
      <c r="Q225" s="33"/>
      <c r="R225" s="33"/>
      <c r="S225" s="33"/>
      <c r="T225" s="167">
        <f>IF($S$6="Exclude", SUMIFS(S226:S231, J226:J231, "&lt;&gt;Yes", G226:G231, "&lt;&gt;Yes"), SUMIFS(S226:S231, J226:J231, "&lt;&gt;Yes"))</f>
        <v>0</v>
      </c>
      <c r="U225" s="33"/>
      <c r="V225" s="33"/>
      <c r="W225" s="33"/>
      <c r="X225" s="34"/>
      <c r="Y225" s="35"/>
      <c r="Z225" s="35"/>
      <c r="AA225" s="35"/>
      <c r="AB225" s="240"/>
      <c r="AC225" s="36"/>
      <c r="AD225" s="26" t="str">
        <f>IF(M225="", "Error: Task name cannot be empty.", "")</f>
        <v/>
      </c>
    </row>
    <row r="226" spans="1:30" s="15" customFormat="1" ht="1.5" hidden="1" customHeight="1" outlineLevel="2" x14ac:dyDescent="0.3">
      <c r="A226" s="93" t="s">
        <v>101</v>
      </c>
      <c r="B226" s="21"/>
      <c r="C226" s="84"/>
      <c r="D226" s="84"/>
      <c r="E226" s="84"/>
      <c r="F226" s="83"/>
      <c r="G226" s="32"/>
      <c r="H226" s="32"/>
      <c r="I226" s="32"/>
      <c r="J226" s="32"/>
      <c r="K226" s="32"/>
      <c r="L226" s="175">
        <f ca="1">L225</f>
        <v>4</v>
      </c>
      <c r="M226" s="176" t="s">
        <v>105</v>
      </c>
      <c r="N226" s="173"/>
      <c r="O226" s="174"/>
      <c r="P226" s="33"/>
      <c r="Q226" s="33"/>
      <c r="R226" s="33"/>
      <c r="S226" s="33"/>
      <c r="T226" s="167"/>
      <c r="U226" s="33"/>
      <c r="V226" s="33"/>
      <c r="W226" s="33"/>
      <c r="X226" s="34"/>
      <c r="Y226" s="35"/>
      <c r="Z226" s="35"/>
      <c r="AA226" s="35"/>
      <c r="AB226" s="36"/>
      <c r="AC226" s="36"/>
      <c r="AD226" s="26"/>
    </row>
    <row r="227" spans="1:30" ht="43.2" hidden="1" outlineLevel="2" x14ac:dyDescent="0.3">
      <c r="A227" s="93" t="s">
        <v>0</v>
      </c>
      <c r="B227" s="21"/>
      <c r="C227" s="85"/>
      <c r="D227" s="85"/>
      <c r="E227" s="85"/>
      <c r="F227" s="86"/>
      <c r="G227" s="22" t="s">
        <v>23</v>
      </c>
      <c r="H227" s="22" t="s">
        <v>23</v>
      </c>
      <c r="I227" s="23" t="s">
        <v>23</v>
      </c>
      <c r="J227" s="22" t="s">
        <v>23</v>
      </c>
      <c r="K227" s="38"/>
      <c r="L227" s="22"/>
      <c r="M227" s="286" t="str">
        <f ca="1">IFERROR(OFFSET(M227,-1,,1,1)+0.1,OFFSET(M227,-1,-1,1,1)&amp;".1")</f>
        <v>4.1</v>
      </c>
      <c r="N227" s="23" t="s">
        <v>524</v>
      </c>
      <c r="O227" s="23"/>
      <c r="P227" s="23"/>
      <c r="Q227" s="144"/>
      <c r="R227" s="137"/>
      <c r="S227" s="169">
        <f>CEILING((IF(J227="Yes", 0, IF(H227="-",AA227,AA227+AA227*VLOOKUP(H227,BUFFERS_BY_TYPE,2,FALSE)))) +
   (IF(J227="Yes", 0, IF(H227="-",AA227,AA227+AA227*VLOOKUP(H227,BUFFERS_BY_TYPE,2,FALSE))))*VLOOKUP($S$5, SALES_CALL_SCALE_ARRAY, 2,FALSE),0.25)</f>
        <v>0</v>
      </c>
      <c r="T227" s="170"/>
      <c r="U227" s="24">
        <v>0</v>
      </c>
      <c r="V227" s="24">
        <v>1</v>
      </c>
      <c r="W227" s="24">
        <v>0</v>
      </c>
      <c r="X227" s="168"/>
      <c r="Y227" s="169">
        <f>CEILING((IF(P227=AS_DEV_EFFORT, DEV_EFFORT*Q227%,
                           IF(P227=AS_DURATION_EFFORT, (MANUAL_DURATION*5)*Q227%,
                                    (IF(Q227&lt;=1,X227,
                                          IF(SUM(U227:W227)=0,(Q227*X227),
                                               (((Q227*U227)*(X227+(X227*EXTRA_FOR_H)))+
                                               ((Q227*V227)*X227)+
                                               ((Q227*W227)*(X227-(X227*LESS_FOR_L)))
                                    )*IF(R227=0,1,R227))))))+Z227), 0.25)</f>
        <v>0</v>
      </c>
      <c r="Z227" s="25"/>
      <c r="AA227" s="169">
        <f>Y227+Y227*VLOOKUP(I227,EXTRAS_ARRAY,2,FALSE)</f>
        <v>0</v>
      </c>
      <c r="AB227" s="23"/>
      <c r="AC227" s="37"/>
      <c r="AD227" s="26" t="str">
        <f>IF(J227&lt;&gt;"Yes",
IF(S227&lt;=0,"Error: Effort value is not defined or is invalid.",
IF(AND(SUM(U227:W227)&gt;0,SUM(U227:W227)&lt;&gt;1),"Error: Complexity % distribution should sum to 100%.",
IF(AND(P227=AS_DEV_EFFORT,X227&lt;&gt;0),"Error: PDs should not be defined when defining as dev effort %.",
IF(AND(P227=AS_DURATION_EFFORT,X227&lt;&gt;0),"Error: PDs should not be defined when defining as duration effort %.","")))))</f>
        <v>Error: Effort value is not defined or is invalid.</v>
      </c>
    </row>
    <row r="228" spans="1:30" ht="43.2" hidden="1" outlineLevel="2" x14ac:dyDescent="0.3">
      <c r="A228" s="93" t="s">
        <v>0</v>
      </c>
      <c r="B228" s="21"/>
      <c r="C228" s="85"/>
      <c r="D228" s="85"/>
      <c r="E228" s="85"/>
      <c r="F228" s="86"/>
      <c r="G228" s="22" t="s">
        <v>23</v>
      </c>
      <c r="H228" s="22" t="s">
        <v>23</v>
      </c>
      <c r="I228" s="23" t="s">
        <v>23</v>
      </c>
      <c r="J228" s="22" t="s">
        <v>23</v>
      </c>
      <c r="K228" s="38"/>
      <c r="L228" s="22"/>
      <c r="M228" s="286">
        <f ca="1">IFERROR(OFFSET(M228,-1,,1,1)+0.1,OFFSET(M228,-1,-1,1,1)&amp;".1")</f>
        <v>4.1999999999999993</v>
      </c>
      <c r="N228" s="23" t="s">
        <v>525</v>
      </c>
      <c r="O228" s="23"/>
      <c r="P228" s="23"/>
      <c r="Q228" s="144"/>
      <c r="R228" s="137"/>
      <c r="S228" s="169">
        <f>CEILING((IF(J228="Yes", 0, IF(H228="-",AA228,AA228+AA228*VLOOKUP(H228,BUFFERS_BY_TYPE,2,FALSE)))) +
   (IF(J228="Yes", 0, IF(H228="-",AA228,AA228+AA228*VLOOKUP(H228,BUFFERS_BY_TYPE,2,FALSE))))*VLOOKUP($S$5, SALES_CALL_SCALE_ARRAY, 2,FALSE),0.25)</f>
        <v>0</v>
      </c>
      <c r="T228" s="170"/>
      <c r="U228" s="24">
        <v>0</v>
      </c>
      <c r="V228" s="24">
        <v>1</v>
      </c>
      <c r="W228" s="24">
        <v>0</v>
      </c>
      <c r="X228" s="168"/>
      <c r="Y228" s="169">
        <f>CEILING((IF(P228=AS_DEV_EFFORT, DEV_EFFORT*Q228%,
                           IF(P228=AS_DURATION_EFFORT, (MANUAL_DURATION*5)*Q228%,
                                    (IF(Q228&lt;=1,X228,
                                          IF(SUM(U228:W228)=0,(Q228*X228),
                                               (((Q228*U228)*(X228+(X228*EXTRA_FOR_H)))+
                                               ((Q228*V228)*X228)+
                                               ((Q228*W228)*(X228-(X228*LESS_FOR_L)))
                                    )*IF(R228=0,1,R228))))))+Z228), 0.25)</f>
        <v>0</v>
      </c>
      <c r="Z228" s="25"/>
      <c r="AA228" s="169">
        <f>Y228+Y228*VLOOKUP(I228,EXTRAS_ARRAY,2,FALSE)</f>
        <v>0</v>
      </c>
      <c r="AB228" s="23"/>
      <c r="AC228" s="37"/>
      <c r="AD228" s="26" t="str">
        <f>IF(J228&lt;&gt;"Yes",
IF(S228&lt;=0,"Error: Effort value is not defined or is invalid.",
IF(AND(SUM(U228:W228)&gt;0,SUM(U228:W228)&lt;&gt;1),"Error: Complexity % distribution should sum to 100%.",
IF(AND(P228=AS_DEV_EFFORT,X228&lt;&gt;0),"Error: PDs should not be defined when defining as dev effort %.",
IF(AND(P228=AS_DURATION_EFFORT,X228&lt;&gt;0),"Error: PDs should not be defined when defining as duration effort %.","")))))</f>
        <v>Error: Effort value is not defined or is invalid.</v>
      </c>
    </row>
    <row r="229" spans="1:30" ht="43.2" hidden="1" outlineLevel="2" x14ac:dyDescent="0.3">
      <c r="A229" s="93" t="s">
        <v>0</v>
      </c>
      <c r="B229" s="21"/>
      <c r="C229" s="85"/>
      <c r="D229" s="85"/>
      <c r="E229" s="85"/>
      <c r="F229" s="86"/>
      <c r="G229" s="22" t="s">
        <v>23</v>
      </c>
      <c r="H229" s="22" t="s">
        <v>23</v>
      </c>
      <c r="I229" s="23" t="s">
        <v>23</v>
      </c>
      <c r="J229" s="22" t="s">
        <v>23</v>
      </c>
      <c r="K229" s="38"/>
      <c r="L229" s="22"/>
      <c r="M229" s="286">
        <f ca="1">IFERROR(OFFSET(M229,-1,,1,1)+0.1,OFFSET(M229,-1,-1,1,1)&amp;".1")</f>
        <v>4.2999999999999989</v>
      </c>
      <c r="N229" s="23" t="s">
        <v>526</v>
      </c>
      <c r="O229" s="23"/>
      <c r="P229" s="23"/>
      <c r="Q229" s="144"/>
      <c r="R229" s="137"/>
      <c r="S229" s="169">
        <f>CEILING((IF(J229="Yes", 0, IF(H229="-",AA229,AA229+AA229*VLOOKUP(H229,BUFFERS_BY_TYPE,2,FALSE)))) +
   (IF(J229="Yes", 0, IF(H229="-",AA229,AA229+AA229*VLOOKUP(H229,BUFFERS_BY_TYPE,2,FALSE))))*VLOOKUP($S$5, SALES_CALL_SCALE_ARRAY, 2,FALSE),0.25)</f>
        <v>0</v>
      </c>
      <c r="T229" s="170"/>
      <c r="U229" s="24">
        <v>0</v>
      </c>
      <c r="V229" s="24">
        <v>1</v>
      </c>
      <c r="W229" s="24">
        <v>0</v>
      </c>
      <c r="X229" s="168"/>
      <c r="Y229" s="169">
        <f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0</v>
      </c>
      <c r="Z229" s="25"/>
      <c r="AA229" s="169">
        <f>Y229+Y229*VLOOKUP(I229,EXTRAS_ARRAY,2,FALSE)</f>
        <v>0</v>
      </c>
      <c r="AB229" s="23"/>
      <c r="AC229" s="37"/>
      <c r="AD229" s="26" t="str">
        <f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>Error: Effort value is not defined or is invalid.</v>
      </c>
    </row>
    <row r="230" spans="1:30" ht="43.2" hidden="1" outlineLevel="2" x14ac:dyDescent="0.3">
      <c r="A230" s="93" t="s">
        <v>0</v>
      </c>
      <c r="B230" s="21"/>
      <c r="C230" s="85"/>
      <c r="D230" s="85"/>
      <c r="E230" s="85"/>
      <c r="F230" s="86"/>
      <c r="G230" s="22" t="s">
        <v>23</v>
      </c>
      <c r="H230" s="22" t="s">
        <v>23</v>
      </c>
      <c r="I230" s="23" t="s">
        <v>23</v>
      </c>
      <c r="J230" s="22" t="s">
        <v>23</v>
      </c>
      <c r="K230" s="38"/>
      <c r="L230" s="22"/>
      <c r="M230" s="286">
        <f ca="1">IFERROR(OFFSET(M230,-1,,1,1)+0.1,OFFSET(M230,-1,-1,1,1)&amp;".1")</f>
        <v>4.3999999999999986</v>
      </c>
      <c r="N230" s="23" t="s">
        <v>527</v>
      </c>
      <c r="O230" s="23"/>
      <c r="P230" s="23"/>
      <c r="Q230" s="144"/>
      <c r="R230" s="137"/>
      <c r="S230" s="169">
        <f>CEILING((IF(J230="Yes", 0, IF(H230="-",AA230,AA230+AA230*VLOOKUP(H230,BUFFERS_BY_TYPE,2,FALSE)))) +
   (IF(J230="Yes", 0, IF(H230="-",AA230,AA230+AA230*VLOOKUP(H230,BUFFERS_BY_TYPE,2,FALSE))))*VLOOKUP($S$5, SALES_CALL_SCALE_ARRAY, 2,FALSE),0.25)</f>
        <v>0</v>
      </c>
      <c r="T230" s="170"/>
      <c r="U230" s="24">
        <v>0</v>
      </c>
      <c r="V230" s="24">
        <v>1</v>
      </c>
      <c r="W230" s="24">
        <v>0</v>
      </c>
      <c r="X230" s="168"/>
      <c r="Y230" s="169">
        <f>CEILING((IF(P230=AS_DEV_EFFORT, DEV_EFFORT*Q230%,
                           IF(P230=AS_DURATION_EFFORT, (MANUAL_DURATION*5)*Q230%,
                                    (IF(Q230&lt;=1,X230,
                                          IF(SUM(U230:W230)=0,(Q230*X230),
                                               (((Q230*U230)*(X230+(X230*EXTRA_FOR_H)))+
                                               ((Q230*V230)*X230)+
                                               ((Q230*W230)*(X230-(X230*LESS_FOR_L)))
                                    )*IF(R230=0,1,R230))))))+Z230), 0.25)</f>
        <v>0</v>
      </c>
      <c r="Z230" s="25"/>
      <c r="AA230" s="169">
        <f>Y230+Y230*VLOOKUP(I230,EXTRAS_ARRAY,2,FALSE)</f>
        <v>0</v>
      </c>
      <c r="AB230" s="23"/>
      <c r="AC230" s="37"/>
      <c r="AD230" s="26" t="str">
        <f>IF(J230&lt;&gt;"Yes",
IF(S230&lt;=0,"Error: Effort value is not defined or is invalid.",
IF(AND(SUM(U230:W230)&gt;0,SUM(U230:W230)&lt;&gt;1),"Error: Complexity % distribution should sum to 100%.",
IF(AND(P230=AS_DEV_EFFORT,X230&lt;&gt;0),"Error: PDs should not be defined when defining as dev effort %.",
IF(AND(P230=AS_DURATION_EFFORT,X230&lt;&gt;0),"Error: PDs should not be defined when defining as duration effort %.","")))))</f>
        <v>Error: Effort value is not defined or is invalid.</v>
      </c>
    </row>
    <row r="231" spans="1:30" s="11" customFormat="1" ht="7.5" hidden="1" customHeight="1" outlineLevel="2" x14ac:dyDescent="0.3">
      <c r="A231" s="93" t="s">
        <v>132</v>
      </c>
      <c r="B231" s="18"/>
      <c r="C231" s="78"/>
      <c r="D231" s="78"/>
      <c r="E231" s="78"/>
      <c r="F231" s="78"/>
      <c r="G231" s="10"/>
      <c r="H231" s="10"/>
      <c r="I231" s="10"/>
      <c r="J231" s="10"/>
      <c r="K231" s="10"/>
      <c r="L231" s="10"/>
      <c r="M231" s="287"/>
      <c r="N231" s="10"/>
      <c r="O231" s="10"/>
      <c r="P231" s="10"/>
      <c r="Q231" s="10"/>
      <c r="R231" s="10"/>
      <c r="S231" s="10"/>
      <c r="T231" s="18"/>
      <c r="U231" s="10"/>
      <c r="V231" s="10"/>
      <c r="W231" s="10"/>
      <c r="X231" s="18"/>
      <c r="Y231" s="10"/>
      <c r="Z231" s="10"/>
      <c r="AA231" s="10"/>
      <c r="AB231" s="60"/>
      <c r="AC231" s="60"/>
      <c r="AD231" s="12"/>
    </row>
    <row r="232" spans="1:30" s="11" customFormat="1" ht="3" hidden="1" customHeight="1" outlineLevel="1" x14ac:dyDescent="0.3">
      <c r="A232" s="93" t="s">
        <v>102</v>
      </c>
      <c r="B232" s="10"/>
      <c r="C232" s="78"/>
      <c r="D232" s="78"/>
      <c r="E232" s="78"/>
      <c r="F232" s="78"/>
      <c r="G232" s="59"/>
      <c r="H232" s="59"/>
      <c r="I232" s="59"/>
      <c r="J232" s="59"/>
      <c r="K232" s="59"/>
      <c r="L232" s="61"/>
      <c r="M232" s="288"/>
      <c r="N232" s="62"/>
      <c r="O232" s="62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2"/>
      <c r="AC232" s="62"/>
      <c r="AD232" s="12"/>
    </row>
    <row r="233" spans="1:30" s="17" customFormat="1" ht="18" collapsed="1" x14ac:dyDescent="0.3">
      <c r="A233" s="93" t="s">
        <v>98</v>
      </c>
      <c r="B233" s="14"/>
      <c r="C233" s="79"/>
      <c r="D233" s="79"/>
      <c r="E233" s="79"/>
      <c r="F233" s="78"/>
      <c r="G233" s="55"/>
      <c r="H233" s="55"/>
      <c r="I233" s="55"/>
      <c r="J233" s="55"/>
      <c r="K233" s="55"/>
      <c r="L233" s="55" t="s">
        <v>83</v>
      </c>
      <c r="M233" s="284" t="s">
        <v>76</v>
      </c>
      <c r="N233" s="56"/>
      <c r="O233" s="57"/>
      <c r="P233" s="58"/>
      <c r="Q233" s="58"/>
      <c r="R233" s="58"/>
      <c r="S233" s="334">
        <f>CEILING(SUMIF(J234:J239, "&lt;&gt;Yes", T234:T239),1)</f>
        <v>94</v>
      </c>
      <c r="T233" s="334"/>
      <c r="U233" s="58"/>
      <c r="V233" s="58"/>
      <c r="W233" s="58"/>
      <c r="X233" s="58"/>
      <c r="Y233" s="58"/>
      <c r="Z233" s="58"/>
      <c r="AA233" s="58"/>
      <c r="AB233" s="58"/>
      <c r="AC233" s="58"/>
      <c r="AD233" s="16"/>
    </row>
    <row r="234" spans="1:30" s="11" customFormat="1" ht="3" hidden="1" customHeight="1" outlineLevel="1" x14ac:dyDescent="0.3">
      <c r="A234" s="93" t="s">
        <v>99</v>
      </c>
      <c r="B234" s="18"/>
      <c r="C234" s="78"/>
      <c r="D234" s="78"/>
      <c r="E234" s="78"/>
      <c r="F234" s="78"/>
      <c r="G234" s="28"/>
      <c r="H234" s="28"/>
      <c r="I234" s="28"/>
      <c r="J234" s="28"/>
      <c r="K234" s="28"/>
      <c r="L234" s="29">
        <v>0</v>
      </c>
      <c r="M234" s="285"/>
      <c r="N234" s="28"/>
      <c r="O234" s="28"/>
      <c r="P234" s="28"/>
      <c r="Q234" s="28"/>
      <c r="R234" s="28"/>
      <c r="S234" s="28"/>
      <c r="T234" s="30"/>
      <c r="U234" s="28"/>
      <c r="V234" s="28"/>
      <c r="W234" s="28"/>
      <c r="X234" s="30"/>
      <c r="Y234" s="28"/>
      <c r="Z234" s="28"/>
      <c r="AA234" s="28"/>
      <c r="AB234" s="31"/>
      <c r="AC234" s="31"/>
      <c r="AD234" s="12"/>
    </row>
    <row r="235" spans="1:30" s="17" customFormat="1" ht="15.6" hidden="1" outlineLevel="1" collapsed="1" x14ac:dyDescent="0.3">
      <c r="A235" s="93" t="s">
        <v>100</v>
      </c>
      <c r="B235" s="21"/>
      <c r="C235" s="84"/>
      <c r="D235" s="84"/>
      <c r="E235" s="84"/>
      <c r="F235" s="83"/>
      <c r="G235" s="32"/>
      <c r="H235" s="32"/>
      <c r="I235" s="32"/>
      <c r="J235" s="32"/>
      <c r="K235" s="32"/>
      <c r="L235" s="20">
        <f ca="1">LOOKUP(1000,INDIRECT("L1:"&amp;CELL("address",INDIRECT("R[-1]C",FALSE))))+1</f>
        <v>1</v>
      </c>
      <c r="M235" s="301" t="s">
        <v>536</v>
      </c>
      <c r="N235" s="301"/>
      <c r="O235" s="5"/>
      <c r="P235" s="33"/>
      <c r="Q235" s="33"/>
      <c r="R235" s="33"/>
      <c r="S235" s="33"/>
      <c r="T235" s="167">
        <f>IF($S$6="Exclude", SUMIFS(S236:S238, J236:J238, "&lt;&gt;Yes", G236:G238, "&lt;&gt;Yes"), SUMIFS(S236:S238, J236:J238, "&lt;&gt;Yes"))</f>
        <v>93.5</v>
      </c>
      <c r="U235" s="33"/>
      <c r="V235" s="33"/>
      <c r="W235" s="33"/>
      <c r="X235" s="34"/>
      <c r="Y235" s="35"/>
      <c r="Z235" s="35"/>
      <c r="AA235" s="35"/>
      <c r="AB235" s="240"/>
      <c r="AC235" s="36"/>
      <c r="AD235" s="26" t="str">
        <f>IF(M235="", "Error: Task name cannot be empty.", "")</f>
        <v/>
      </c>
    </row>
    <row r="236" spans="1:30" s="15" customFormat="1" ht="1.5" hidden="1" customHeight="1" outlineLevel="2" x14ac:dyDescent="0.3">
      <c r="A236" s="93" t="s">
        <v>101</v>
      </c>
      <c r="B236" s="21"/>
      <c r="C236" s="84"/>
      <c r="D236" s="84"/>
      <c r="E236" s="84"/>
      <c r="F236" s="83"/>
      <c r="G236" s="32"/>
      <c r="H236" s="32"/>
      <c r="I236" s="32"/>
      <c r="J236" s="32"/>
      <c r="K236" s="32"/>
      <c r="L236" s="175">
        <f ca="1">L235</f>
        <v>1</v>
      </c>
      <c r="M236" s="176" t="s">
        <v>105</v>
      </c>
      <c r="N236" s="173"/>
      <c r="O236" s="174"/>
      <c r="P236" s="33"/>
      <c r="Q236" s="33"/>
      <c r="R236" s="33"/>
      <c r="S236" s="33"/>
      <c r="T236" s="167"/>
      <c r="U236" s="33"/>
      <c r="V236" s="33"/>
      <c r="W236" s="33"/>
      <c r="X236" s="34"/>
      <c r="Y236" s="35"/>
      <c r="Z236" s="35"/>
      <c r="AA236" s="35"/>
      <c r="AB236" s="36"/>
      <c r="AC236" s="36"/>
      <c r="AD236" s="26"/>
    </row>
    <row r="237" spans="1:30" ht="15.6" hidden="1" outlineLevel="2" x14ac:dyDescent="0.3">
      <c r="A237" s="93" t="s">
        <v>0</v>
      </c>
      <c r="B237" s="21"/>
      <c r="C237" s="85"/>
      <c r="D237" s="85"/>
      <c r="E237" s="85"/>
      <c r="F237" s="86"/>
      <c r="G237" s="22" t="s">
        <v>23</v>
      </c>
      <c r="H237" s="22" t="s">
        <v>23</v>
      </c>
      <c r="I237" s="23" t="s">
        <v>23</v>
      </c>
      <c r="J237" s="22" t="s">
        <v>23</v>
      </c>
      <c r="K237" s="38"/>
      <c r="L237" s="22"/>
      <c r="M237" s="286" t="str">
        <f ca="1">IFERROR(OFFSET(M237,-1,,1,1)+0.1,OFFSET(M237,-1,-1,1,1)&amp;".1")</f>
        <v>1.1</v>
      </c>
      <c r="N237" s="23" t="s">
        <v>537</v>
      </c>
      <c r="O237" s="23" t="s">
        <v>538</v>
      </c>
      <c r="P237" s="274">
        <v>0.1</v>
      </c>
      <c r="Q237" s="144"/>
      <c r="R237" s="137"/>
      <c r="S237" s="169">
        <f>CEILING((IF(J237="Yes", 0, IF(H237="-",AA237,AA237+AA237*VLOOKUP(H237,BUFFERS_BY_TYPE,2,FALSE)))) +
   (IF(J237="Yes", 0, IF(H237="-",AA237,AA237+AA237*VLOOKUP(H237,BUFFERS_BY_TYPE,2,FALSE))))*VLOOKUP($S$5, SALES_CALL_SCALE_ARRAY, 2,FALSE),0.25)</f>
        <v>93.5</v>
      </c>
      <c r="T237" s="170"/>
      <c r="U237" s="24">
        <v>0</v>
      </c>
      <c r="V237" s="24">
        <v>1</v>
      </c>
      <c r="W237" s="24">
        <v>0</v>
      </c>
      <c r="X237" s="168">
        <f>(REQ_EFFORT+DESIGN_EFFORT+DEV_EFFORT+QA_EFFORT+UAT_EFFORT) * P237</f>
        <v>93.4</v>
      </c>
      <c r="Y237" s="169">
        <f>CEILING((IF(P237=AS_DEV_EFFORT, DEV_EFFORT*Q237%,
                           IF(P237=AS_DURATION_EFFORT, (MANUAL_DURATION*5)*Q237%,
                                    (IF(Q237&lt;=1,X237,
                                          IF(SUM(U237:W237)=0,(Q237*X237),
                                               (((Q237*U237)*(X237+(X237*EXTRA_FOR_H)))+
                                               ((Q237*V237)*X237)+
                                               ((Q237*W237)*(X237-(X237*LESS_FOR_L)))
                                    )*IF(R237=0,1,R237))))))+Z237), 0.25)</f>
        <v>93.5</v>
      </c>
      <c r="Z237" s="25"/>
      <c r="AA237" s="169">
        <f>Y237+Y237*VLOOKUP(I237,EXTRAS_ARRAY,2,FALSE)</f>
        <v>93.5</v>
      </c>
      <c r="AB237" s="23"/>
      <c r="AC237" s="37"/>
      <c r="AD237" s="26" t="str">
        <f>IF(J237&lt;&gt;"Yes",
IF(S237&lt;=0,"Error: Effort value is not defined or is invalid.",
IF(AND(SUM(U237:W237)&gt;0,SUM(U237:W237)&lt;&gt;1),"Error: Complexity % distribution should sum to 100%.",
IF(AND(P237=AS_DEV_EFFORT,X237&lt;&gt;0),"Error: PDs should not be defined when defining as dev effort %.",
IF(AND(P237=AS_DURATION_EFFORT,X237&lt;&gt;0),"Error: PDs should not be defined when defining as duration effort %.","")))))</f>
        <v/>
      </c>
    </row>
    <row r="238" spans="1:30" s="11" customFormat="1" ht="7.5" hidden="1" customHeight="1" outlineLevel="2" x14ac:dyDescent="0.3">
      <c r="A238" s="93" t="s">
        <v>132</v>
      </c>
      <c r="B238" s="18"/>
      <c r="C238" s="78"/>
      <c r="D238" s="78"/>
      <c r="E238" s="78"/>
      <c r="F238" s="78"/>
      <c r="G238" s="10"/>
      <c r="H238" s="10"/>
      <c r="I238" s="10"/>
      <c r="J238" s="10"/>
      <c r="K238" s="10"/>
      <c r="L238" s="10"/>
      <c r="M238" s="287"/>
      <c r="N238" s="10"/>
      <c r="O238" s="10"/>
      <c r="P238" s="10"/>
      <c r="Q238" s="10"/>
      <c r="R238" s="10"/>
      <c r="S238" s="10"/>
      <c r="T238" s="18"/>
      <c r="U238" s="10"/>
      <c r="V238" s="10"/>
      <c r="W238" s="10"/>
      <c r="X238" s="18"/>
      <c r="Y238" s="10"/>
      <c r="Z238" s="10"/>
      <c r="AA238" s="10"/>
      <c r="AB238" s="60"/>
      <c r="AC238" s="60"/>
      <c r="AD238" s="12"/>
    </row>
    <row r="239" spans="1:30" s="11" customFormat="1" ht="3" hidden="1" customHeight="1" outlineLevel="1" x14ac:dyDescent="0.3">
      <c r="A239" s="93" t="s">
        <v>102</v>
      </c>
      <c r="B239" s="10"/>
      <c r="C239" s="78"/>
      <c r="D239" s="78"/>
      <c r="E239" s="78"/>
      <c r="F239" s="78"/>
      <c r="G239" s="59"/>
      <c r="H239" s="59"/>
      <c r="I239" s="59"/>
      <c r="J239" s="59"/>
      <c r="K239" s="59"/>
      <c r="L239" s="61"/>
      <c r="M239" s="288"/>
      <c r="N239" s="62"/>
      <c r="O239" s="62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2"/>
      <c r="AC239" s="62"/>
      <c r="AD239" s="12"/>
    </row>
    <row r="240" spans="1:30" s="11" customFormat="1" ht="20.25" customHeight="1" x14ac:dyDescent="0.3">
      <c r="A240" s="93" t="s">
        <v>103</v>
      </c>
      <c r="B240" s="10"/>
      <c r="C240" s="78"/>
      <c r="D240" s="78"/>
      <c r="E240" s="78"/>
      <c r="F240" s="78"/>
      <c r="G240" s="43"/>
      <c r="H240" s="43"/>
      <c r="I240" s="43"/>
      <c r="J240" s="43"/>
      <c r="K240" s="43"/>
      <c r="L240" s="146"/>
      <c r="M240" s="281"/>
      <c r="N240" s="43"/>
      <c r="O240" s="43"/>
      <c r="P240" s="43"/>
      <c r="Q240" s="43"/>
      <c r="R240" s="43"/>
      <c r="S240" s="335">
        <f>TOTAL_EFFORT</f>
        <v>1028</v>
      </c>
      <c r="T240" s="335"/>
      <c r="U240" s="43"/>
      <c r="V240" s="43"/>
      <c r="W240" s="43"/>
      <c r="X240" s="43"/>
      <c r="Y240" s="43"/>
      <c r="Z240" s="43"/>
      <c r="AA240" s="43"/>
      <c r="AB240" s="145"/>
      <c r="AC240" s="43"/>
      <c r="AD240" s="12"/>
    </row>
    <row r="241" spans="1:30" s="11" customFormat="1" x14ac:dyDescent="0.3">
      <c r="A241" s="93"/>
      <c r="B241" s="10"/>
      <c r="C241" s="80"/>
      <c r="D241" s="80"/>
      <c r="E241" s="80"/>
      <c r="F241" s="78"/>
      <c r="M241" s="275"/>
      <c r="N241" s="12"/>
      <c r="O241" s="12"/>
      <c r="AB241" s="12"/>
      <c r="AC241" s="12"/>
      <c r="AD241" s="12"/>
    </row>
    <row r="242" spans="1:30" s="11" customFormat="1" ht="20.25" customHeight="1" collapsed="1" x14ac:dyDescent="0.3">
      <c r="A242" s="93"/>
      <c r="B242" s="10"/>
      <c r="C242" s="78"/>
      <c r="D242" s="78"/>
      <c r="E242" s="78"/>
      <c r="F242" s="78"/>
      <c r="G242" s="324" t="s">
        <v>48</v>
      </c>
      <c r="H242" s="324"/>
      <c r="I242" s="200"/>
      <c r="J242" s="43"/>
      <c r="K242" s="43"/>
      <c r="L242" s="39"/>
      <c r="M242" s="289" t="s">
        <v>154</v>
      </c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12"/>
    </row>
    <row r="243" spans="1:30" s="11" customFormat="1" hidden="1" outlineLevel="1" x14ac:dyDescent="0.3">
      <c r="A243" s="93"/>
      <c r="B243" s="10"/>
      <c r="C243" s="80"/>
      <c r="D243" s="80"/>
      <c r="E243" s="80"/>
      <c r="F243" s="78"/>
      <c r="G243" s="28"/>
      <c r="H243" s="28"/>
      <c r="I243" s="28"/>
      <c r="J243" s="28"/>
      <c r="K243" s="28"/>
      <c r="L243" s="28"/>
      <c r="M243" s="285"/>
      <c r="N243" s="31"/>
      <c r="O243" s="31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31"/>
      <c r="AC243" s="31"/>
      <c r="AD243" s="12"/>
    </row>
    <row r="244" spans="1:30" s="11" customFormat="1" ht="15" hidden="1" customHeight="1" outlineLevel="1" x14ac:dyDescent="0.3">
      <c r="A244" s="93"/>
      <c r="B244" s="10"/>
      <c r="C244" s="80"/>
      <c r="D244" s="80"/>
      <c r="E244" s="80"/>
      <c r="F244" s="78"/>
      <c r="G244" s="28"/>
      <c r="H244" s="28"/>
      <c r="I244" s="28"/>
      <c r="J244" s="28"/>
      <c r="K244" s="28"/>
      <c r="L244" s="28"/>
      <c r="M244" s="307" t="s">
        <v>454</v>
      </c>
      <c r="N244" s="307"/>
      <c r="O244" s="307"/>
      <c r="P244" s="307"/>
      <c r="Q244" s="307"/>
      <c r="R244" s="307"/>
      <c r="S244" s="307"/>
      <c r="T244" s="307"/>
      <c r="U244" s="31"/>
      <c r="V244" s="31"/>
      <c r="W244" s="31"/>
      <c r="X244" s="28"/>
      <c r="Y244" s="28"/>
      <c r="Z244" s="28"/>
      <c r="AA244" s="28"/>
      <c r="AB244" s="31"/>
      <c r="AC244" s="31"/>
      <c r="AD244" s="12"/>
    </row>
    <row r="245" spans="1:30" s="11" customFormat="1" hidden="1" outlineLevel="1" x14ac:dyDescent="0.3">
      <c r="A245" s="93"/>
      <c r="B245" s="10"/>
      <c r="C245" s="80"/>
      <c r="D245" s="80"/>
      <c r="E245" s="80"/>
      <c r="F245" s="78"/>
      <c r="G245" s="28"/>
      <c r="H245" s="28"/>
      <c r="I245" s="28"/>
      <c r="J245" s="28"/>
      <c r="K245" s="28"/>
      <c r="L245" s="28"/>
      <c r="M245" s="307"/>
      <c r="N245" s="307"/>
      <c r="O245" s="307"/>
      <c r="P245" s="307"/>
      <c r="Q245" s="307"/>
      <c r="R245" s="307"/>
      <c r="S245" s="307"/>
      <c r="T245" s="307"/>
      <c r="U245" s="31"/>
      <c r="V245" s="31"/>
      <c r="W245" s="31"/>
      <c r="X245" s="28"/>
      <c r="Y245" s="28"/>
      <c r="Z245" s="28"/>
      <c r="AA245" s="28"/>
      <c r="AB245" s="31"/>
      <c r="AC245" s="31"/>
      <c r="AD245" s="12"/>
    </row>
    <row r="246" spans="1:30" s="11" customFormat="1" ht="3.75" hidden="1" customHeight="1" outlineLevel="1" x14ac:dyDescent="0.3">
      <c r="A246" s="93"/>
      <c r="B246" s="10"/>
      <c r="C246" s="80"/>
      <c r="D246" s="80"/>
      <c r="E246" s="80"/>
      <c r="F246" s="78"/>
      <c r="G246" s="28"/>
      <c r="H246" s="28"/>
      <c r="I246" s="28"/>
      <c r="J246" s="28"/>
      <c r="K246" s="28"/>
      <c r="L246" s="28"/>
      <c r="M246" s="285"/>
      <c r="N246" s="31"/>
      <c r="O246" s="31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31"/>
      <c r="AC246" s="31"/>
      <c r="AD246" s="12"/>
    </row>
    <row r="247" spans="1:30" s="11" customFormat="1" ht="15.6" hidden="1" outlineLevel="1" x14ac:dyDescent="0.3">
      <c r="A247" s="93"/>
      <c r="B247" s="10"/>
      <c r="C247" s="80"/>
      <c r="D247" s="80"/>
      <c r="E247" s="80"/>
      <c r="F247" s="78"/>
      <c r="G247" s="28"/>
      <c r="H247" s="28"/>
      <c r="I247" s="28"/>
      <c r="J247" s="28"/>
      <c r="K247" s="28"/>
      <c r="L247" s="28"/>
      <c r="M247" s="290" t="s">
        <v>153</v>
      </c>
      <c r="N247" s="203" t="s">
        <v>3</v>
      </c>
      <c r="O247" s="207" t="s">
        <v>59</v>
      </c>
      <c r="P247" s="206" t="str">
        <f>"Cost ("&amp;CHOSEN_CURRENCY&amp;")"</f>
        <v>Cost (-)</v>
      </c>
      <c r="Q247" s="28"/>
      <c r="R247" s="242" t="s">
        <v>441</v>
      </c>
      <c r="S247" s="63" t="s">
        <v>453</v>
      </c>
      <c r="T247" s="253" t="s">
        <v>455</v>
      </c>
      <c r="U247" s="241"/>
      <c r="V247" s="241"/>
      <c r="W247" s="28"/>
      <c r="X247" s="241"/>
      <c r="Y247" s="28"/>
      <c r="Z247" s="28"/>
      <c r="AA247" s="28"/>
      <c r="AB247" s="31"/>
      <c r="AC247" s="31"/>
      <c r="AD247" s="12"/>
    </row>
    <row r="248" spans="1:30" s="11" customFormat="1" ht="3" hidden="1" customHeight="1" outlineLevel="1" x14ac:dyDescent="0.3">
      <c r="A248" s="93"/>
      <c r="B248" s="10"/>
      <c r="C248" s="80"/>
      <c r="D248" s="80"/>
      <c r="E248" s="80"/>
      <c r="F248" s="78"/>
      <c r="G248" s="28"/>
      <c r="H248" s="28"/>
      <c r="I248" s="28"/>
      <c r="J248" s="28"/>
      <c r="K248" s="28"/>
      <c r="L248" s="28"/>
      <c r="M248" s="291"/>
      <c r="N248" s="268"/>
      <c r="O248" s="268"/>
      <c r="P248" s="267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31"/>
      <c r="AC248" s="31"/>
      <c r="AD248" s="12"/>
    </row>
    <row r="249" spans="1:30" s="11" customFormat="1" hidden="1" outlineLevel="1" x14ac:dyDescent="0.3">
      <c r="A249" s="93"/>
      <c r="B249" s="10"/>
      <c r="C249" s="80"/>
      <c r="D249" s="80"/>
      <c r="E249" s="80"/>
      <c r="F249" s="78"/>
      <c r="G249" s="28"/>
      <c r="H249" s="28"/>
      <c r="I249" s="28"/>
      <c r="J249" s="28"/>
      <c r="K249" s="28"/>
      <c r="L249" s="28"/>
      <c r="M249" s="285"/>
      <c r="N249" s="31"/>
      <c r="O249" s="31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31"/>
      <c r="AC249" s="31"/>
      <c r="AD249" s="12"/>
    </row>
    <row r="250" spans="1:30" s="11" customFormat="1" hidden="1" outlineLevel="1" x14ac:dyDescent="0.3">
      <c r="A250" s="93"/>
      <c r="B250" s="10"/>
      <c r="C250" s="80"/>
      <c r="D250" s="80"/>
      <c r="E250" s="80"/>
      <c r="F250" s="78"/>
      <c r="G250" s="28"/>
      <c r="H250" s="28"/>
      <c r="I250" s="28"/>
      <c r="J250" s="28"/>
      <c r="K250" s="28"/>
      <c r="L250" s="28"/>
      <c r="M250" s="285"/>
      <c r="N250" s="31"/>
      <c r="O250" s="31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31"/>
      <c r="AC250" s="31"/>
      <c r="AD250" s="12"/>
    </row>
    <row r="251" spans="1:30" s="11" customFormat="1" hidden="1" outlineLevel="1" x14ac:dyDescent="0.3">
      <c r="A251" s="93"/>
      <c r="B251" s="10"/>
      <c r="C251" s="80"/>
      <c r="D251" s="80"/>
      <c r="E251" s="80"/>
      <c r="F251" s="78"/>
      <c r="G251" s="28"/>
      <c r="H251" s="28"/>
      <c r="I251" s="28"/>
      <c r="J251" s="28"/>
      <c r="K251" s="28"/>
      <c r="L251" s="28"/>
      <c r="M251" s="285"/>
      <c r="N251" s="31"/>
      <c r="O251" s="31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31"/>
      <c r="AC251" s="31"/>
      <c r="AD251" s="12"/>
    </row>
    <row r="252" spans="1:30" s="11" customFormat="1" hidden="1" outlineLevel="1" x14ac:dyDescent="0.3">
      <c r="A252" s="93"/>
      <c r="B252" s="10"/>
      <c r="C252" s="80"/>
      <c r="D252" s="80"/>
      <c r="E252" s="80"/>
      <c r="F252" s="78"/>
      <c r="G252" s="28"/>
      <c r="H252" s="28"/>
      <c r="I252" s="28"/>
      <c r="J252" s="28"/>
      <c r="K252" s="28"/>
      <c r="L252" s="28"/>
      <c r="M252" s="285"/>
      <c r="N252" s="31"/>
      <c r="O252" s="31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31"/>
      <c r="AC252" s="31"/>
      <c r="AD252" s="12"/>
    </row>
    <row r="253" spans="1:30" s="11" customFormat="1" hidden="1" outlineLevel="1" x14ac:dyDescent="0.3">
      <c r="A253" s="93"/>
      <c r="B253" s="10"/>
      <c r="C253" s="80"/>
      <c r="D253" s="80"/>
      <c r="E253" s="80"/>
      <c r="F253" s="78"/>
      <c r="G253" s="28"/>
      <c r="H253" s="28"/>
      <c r="I253" s="28"/>
      <c r="J253" s="28"/>
      <c r="K253" s="28"/>
      <c r="L253" s="28"/>
      <c r="M253" s="285"/>
      <c r="N253" s="31"/>
      <c r="O253" s="31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31"/>
      <c r="AC253" s="31"/>
      <c r="AD253" s="12"/>
    </row>
    <row r="254" spans="1:30" s="11" customFormat="1" ht="3" hidden="1" customHeight="1" outlineLevel="1" x14ac:dyDescent="0.3">
      <c r="A254" s="93"/>
      <c r="B254" s="10"/>
      <c r="C254" s="80"/>
      <c r="D254" s="80"/>
      <c r="E254" s="80"/>
      <c r="F254" s="78"/>
      <c r="G254" s="28"/>
      <c r="H254" s="28"/>
      <c r="I254" s="28"/>
      <c r="J254" s="28"/>
      <c r="K254" s="28"/>
      <c r="L254" s="28"/>
      <c r="M254" s="291"/>
      <c r="N254" s="268"/>
      <c r="O254" s="268"/>
      <c r="P254" s="267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31"/>
      <c r="AC254" s="31"/>
      <c r="AD254" s="12"/>
    </row>
    <row r="255" spans="1:30" s="11" customFormat="1" hidden="1" outlineLevel="1" x14ac:dyDescent="0.3">
      <c r="A255" s="93"/>
      <c r="B255" s="10"/>
      <c r="C255" s="80"/>
      <c r="D255" s="80"/>
      <c r="E255" s="80"/>
      <c r="F255" s="78"/>
      <c r="G255" s="28"/>
      <c r="H255" s="28"/>
      <c r="I255" s="28"/>
      <c r="J255" s="28"/>
      <c r="K255" s="28"/>
      <c r="L255" s="28"/>
      <c r="M255" s="292"/>
      <c r="N255" s="204"/>
      <c r="O255" s="205">
        <f>TOTAL_EFFORT</f>
        <v>1028</v>
      </c>
      <c r="P255" s="205">
        <f>TOTAL_COST</f>
        <v>230272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31"/>
      <c r="AC255" s="31"/>
      <c r="AD255" s="12"/>
    </row>
    <row r="256" spans="1:30" s="11" customFormat="1" hidden="1" outlineLevel="1" x14ac:dyDescent="0.3">
      <c r="A256" s="93"/>
      <c r="B256" s="10"/>
      <c r="C256" s="80"/>
      <c r="D256" s="80"/>
      <c r="E256" s="80"/>
      <c r="F256" s="78"/>
      <c r="G256" s="28"/>
      <c r="H256" s="28"/>
      <c r="I256" s="28"/>
      <c r="J256" s="28"/>
      <c r="K256" s="28"/>
      <c r="L256" s="28"/>
      <c r="M256" s="285"/>
      <c r="N256" s="31"/>
      <c r="O256" s="31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31"/>
      <c r="AC256" s="31"/>
      <c r="AD256" s="12"/>
    </row>
    <row r="257" spans="1:30" s="11" customFormat="1" ht="20.25" hidden="1" customHeight="1" outlineLevel="1" x14ac:dyDescent="0.3">
      <c r="A257" s="93"/>
      <c r="B257" s="10"/>
      <c r="C257" s="78"/>
      <c r="D257" s="78"/>
      <c r="E257" s="78"/>
      <c r="F257" s="78"/>
      <c r="G257" s="43"/>
      <c r="H257" s="43"/>
      <c r="I257" s="43"/>
      <c r="J257" s="43"/>
      <c r="K257" s="43"/>
      <c r="L257" s="43"/>
      <c r="M257" s="281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12"/>
    </row>
    <row r="258" spans="1:30" ht="15" customHeight="1" x14ac:dyDescent="0.3">
      <c r="F258" s="78"/>
    </row>
    <row r="259" spans="1:30" s="11" customFormat="1" ht="20.25" customHeight="1" x14ac:dyDescent="0.3">
      <c r="A259" s="93"/>
      <c r="B259" s="10"/>
      <c r="C259" s="78"/>
      <c r="D259" s="78"/>
      <c r="E259" s="78"/>
      <c r="F259" s="78"/>
      <c r="G259" s="324" t="s">
        <v>48</v>
      </c>
      <c r="H259" s="324"/>
      <c r="I259" s="178"/>
      <c r="J259" s="43"/>
      <c r="K259" s="43"/>
      <c r="L259" s="39"/>
      <c r="M259" s="289" t="s">
        <v>111</v>
      </c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12"/>
    </row>
    <row r="260" spans="1:30" outlineLevel="1" x14ac:dyDescent="0.3">
      <c r="F260" s="78"/>
      <c r="G260" s="63"/>
      <c r="H260" s="63"/>
      <c r="I260" s="63"/>
      <c r="J260" s="63"/>
      <c r="K260" s="63"/>
      <c r="L260" s="63"/>
      <c r="M260" s="294"/>
      <c r="N260" s="64"/>
      <c r="O260" s="64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4"/>
      <c r="AC260" s="31"/>
    </row>
    <row r="261" spans="1:30" outlineLevel="1" x14ac:dyDescent="0.3">
      <c r="F261" s="78"/>
      <c r="G261" s="68">
        <v>1</v>
      </c>
      <c r="H261" s="68"/>
      <c r="I261" s="68"/>
      <c r="J261" s="63"/>
      <c r="K261" s="63"/>
      <c r="L261" s="63"/>
      <c r="M261" s="294"/>
      <c r="N261" s="64"/>
      <c r="O261" s="64"/>
      <c r="P261" s="63"/>
      <c r="Q261" s="331" t="s">
        <v>79</v>
      </c>
      <c r="R261" s="331"/>
      <c r="S261" s="331"/>
      <c r="T261" s="331"/>
      <c r="U261" s="331"/>
      <c r="V261" s="331"/>
      <c r="W261" s="255"/>
      <c r="X261" s="222"/>
      <c r="Y261" s="63"/>
      <c r="Z261" s="63"/>
      <c r="AA261" s="63"/>
      <c r="AB261" s="64"/>
      <c r="AC261" s="31"/>
    </row>
    <row r="262" spans="1:30" ht="15" customHeight="1" outlineLevel="1" x14ac:dyDescent="0.3">
      <c r="B262" s="10" t="str">
        <f>IF(OR(COUNTBLANK(Q262:W262)&lt;&gt;0,SUM(Q262:W262)=0), ".", "")</f>
        <v/>
      </c>
      <c r="F262" s="78"/>
      <c r="G262" s="63">
        <v>2</v>
      </c>
      <c r="H262" s="68"/>
      <c r="I262" s="68"/>
      <c r="J262" s="63"/>
      <c r="K262" s="63"/>
      <c r="L262" s="63"/>
      <c r="M262" s="294"/>
      <c r="N262" s="100"/>
      <c r="O262" s="309" t="s">
        <v>29</v>
      </c>
      <c r="P262" s="309" t="s">
        <v>94</v>
      </c>
      <c r="Q262" s="53">
        <f>28 * 8</f>
        <v>224</v>
      </c>
      <c r="R262" s="53">
        <f t="shared" ref="R262:V262" si="15">28 * 8</f>
        <v>224</v>
      </c>
      <c r="S262" s="53">
        <f t="shared" si="15"/>
        <v>224</v>
      </c>
      <c r="T262" s="53">
        <f t="shared" si="15"/>
        <v>224</v>
      </c>
      <c r="U262" s="53">
        <f t="shared" si="15"/>
        <v>224</v>
      </c>
      <c r="V262" s="53">
        <f t="shared" si="15"/>
        <v>224</v>
      </c>
      <c r="W262" s="308" t="str">
        <f>CHOSEN_CURRENCY</f>
        <v>-</v>
      </c>
      <c r="X262" s="309"/>
      <c r="Y262" s="63"/>
      <c r="Z262" s="63"/>
      <c r="AA262" s="63"/>
      <c r="AB262" s="64"/>
      <c r="AC262" s="31"/>
    </row>
    <row r="263" spans="1:30" ht="15" customHeight="1" outlineLevel="1" x14ac:dyDescent="0.3">
      <c r="F263" s="78"/>
      <c r="G263" s="63">
        <v>3</v>
      </c>
      <c r="H263" s="68"/>
      <c r="I263" s="68"/>
      <c r="J263" s="63"/>
      <c r="K263" s="63"/>
      <c r="L263" s="63"/>
      <c r="M263" s="294"/>
      <c r="N263" s="100"/>
      <c r="O263" s="311"/>
      <c r="P263" s="311"/>
      <c r="Q263" s="295" t="s">
        <v>8</v>
      </c>
      <c r="R263" s="295" t="s">
        <v>9</v>
      </c>
      <c r="S263" s="295" t="s">
        <v>10</v>
      </c>
      <c r="T263" s="295" t="s">
        <v>12</v>
      </c>
      <c r="U263" s="295" t="s">
        <v>11</v>
      </c>
      <c r="V263" s="296" t="s">
        <v>13</v>
      </c>
      <c r="W263" s="310"/>
      <c r="X263" s="311"/>
      <c r="Y263" s="63"/>
      <c r="Z263" s="63"/>
      <c r="AA263" s="63"/>
      <c r="AB263" s="64"/>
      <c r="AC263" s="31"/>
    </row>
    <row r="264" spans="1:30" ht="15" customHeight="1" outlineLevel="1" x14ac:dyDescent="0.3">
      <c r="B264" s="10" t="str">
        <f t="shared" ref="B264:B269" si="16">IF(SUM(Q264:V264)&lt;&gt;1,".","")</f>
        <v/>
      </c>
      <c r="F264" s="78"/>
      <c r="G264" s="68">
        <v>4</v>
      </c>
      <c r="H264" s="68"/>
      <c r="I264" s="68"/>
      <c r="J264" s="63"/>
      <c r="K264" s="63"/>
      <c r="L264" s="67" t="s">
        <v>84</v>
      </c>
      <c r="M264" s="285" t="str">
        <f>$L$12</f>
        <v>A</v>
      </c>
      <c r="N264" s="31" t="str">
        <f>$M$12</f>
        <v>Discovery / Requirement Analysis</v>
      </c>
      <c r="O264" s="65">
        <f>S12</f>
        <v>224</v>
      </c>
      <c r="P264" s="104">
        <f>ROUND(REQ_EFFORT/5,0)</f>
        <v>45</v>
      </c>
      <c r="Q264" s="105">
        <v>0.85</v>
      </c>
      <c r="R264" s="269">
        <v>0.1</v>
      </c>
      <c r="S264" s="45"/>
      <c r="T264" s="45"/>
      <c r="U264" s="45"/>
      <c r="V264" s="46">
        <v>0.05</v>
      </c>
      <c r="W264" s="312">
        <f t="shared" ref="W264:W269" si="17">(($O264*Q264)*Q$262)+(($O264*R264)*R$262)+(($O264*S264)*S$262)+(($O264*T264)*T$262)+(($O264*U264)*U$262)+(($O264*V264)*V$262)</f>
        <v>50176</v>
      </c>
      <c r="X264" s="313"/>
      <c r="Y264" s="63"/>
      <c r="Z264" s="63"/>
      <c r="AA264" s="63"/>
      <c r="AB264" s="64"/>
      <c r="AC264" s="31"/>
    </row>
    <row r="265" spans="1:30" outlineLevel="1" x14ac:dyDescent="0.3">
      <c r="B265" s="10" t="str">
        <f t="shared" si="16"/>
        <v/>
      </c>
      <c r="F265" s="78"/>
      <c r="G265" s="63">
        <v>5</v>
      </c>
      <c r="H265" s="68"/>
      <c r="I265" s="68"/>
      <c r="J265" s="63"/>
      <c r="K265" s="63"/>
      <c r="L265" s="67" t="s">
        <v>85</v>
      </c>
      <c r="M265" s="285" t="str">
        <f>$L$65</f>
        <v>B</v>
      </c>
      <c r="N265" s="31" t="str">
        <f>$M$65</f>
        <v>System Design, Framework and Test Cases</v>
      </c>
      <c r="O265" s="65">
        <f>S65</f>
        <v>203</v>
      </c>
      <c r="P265" s="104">
        <f>ROUND(DESIGN_EFFORT/5,0)</f>
        <v>41</v>
      </c>
      <c r="Q265" s="45"/>
      <c r="R265" s="270">
        <v>0.7</v>
      </c>
      <c r="S265" s="44">
        <v>0.2</v>
      </c>
      <c r="T265" s="45"/>
      <c r="U265" s="44">
        <v>0.1</v>
      </c>
      <c r="V265" s="47"/>
      <c r="W265" s="312">
        <f t="shared" si="17"/>
        <v>45471.999999999993</v>
      </c>
      <c r="X265" s="313"/>
      <c r="Y265" s="63"/>
      <c r="Z265" s="63"/>
      <c r="AA265" s="63"/>
      <c r="AB265" s="64"/>
      <c r="AC265" s="31"/>
    </row>
    <row r="266" spans="1:30" outlineLevel="1" x14ac:dyDescent="0.3">
      <c r="B266" s="10" t="str">
        <f t="shared" si="16"/>
        <v/>
      </c>
      <c r="F266" s="78"/>
      <c r="G266" s="63">
        <v>6</v>
      </c>
      <c r="H266" s="68"/>
      <c r="I266" s="68"/>
      <c r="J266" s="63"/>
      <c r="K266" s="63"/>
      <c r="L266" s="67" t="s">
        <v>87</v>
      </c>
      <c r="M266" s="285" t="str">
        <f>$L$96</f>
        <v>C</v>
      </c>
      <c r="N266" s="31" t="str">
        <f>$M$96</f>
        <v>Development and Unit Testing</v>
      </c>
      <c r="O266" s="65">
        <f>S96</f>
        <v>412</v>
      </c>
      <c r="P266" s="104">
        <f>ROUND(DEV_EFFORT/5,0)</f>
        <v>82</v>
      </c>
      <c r="Q266" s="45"/>
      <c r="R266" s="269"/>
      <c r="S266" s="44">
        <v>0.3</v>
      </c>
      <c r="T266" s="105">
        <v>0.7</v>
      </c>
      <c r="U266" s="45"/>
      <c r="V266" s="47"/>
      <c r="W266" s="312">
        <f t="shared" si="17"/>
        <v>92287.999999999985</v>
      </c>
      <c r="X266" s="313"/>
      <c r="Y266" s="63"/>
      <c r="Z266" s="63"/>
      <c r="AA266" s="63"/>
      <c r="AB266" s="64"/>
      <c r="AC266" s="31"/>
    </row>
    <row r="267" spans="1:30" outlineLevel="1" x14ac:dyDescent="0.3">
      <c r="B267" s="10" t="str">
        <f t="shared" si="16"/>
        <v/>
      </c>
      <c r="F267" s="78"/>
      <c r="G267" s="68">
        <v>7</v>
      </c>
      <c r="H267" s="68"/>
      <c r="I267" s="68"/>
      <c r="J267" s="63"/>
      <c r="K267" s="63"/>
      <c r="L267" s="67" t="s">
        <v>11</v>
      </c>
      <c r="M267" s="285" t="str">
        <f>$L$172</f>
        <v>D</v>
      </c>
      <c r="N267" s="31" t="str">
        <f>$M$172</f>
        <v>System Testing and Stabilization</v>
      </c>
      <c r="O267" s="65">
        <f>S172</f>
        <v>50</v>
      </c>
      <c r="P267" s="104">
        <f>ROUND(QA_EFFORT/5,0)</f>
        <v>10</v>
      </c>
      <c r="Q267" s="45"/>
      <c r="R267" s="269"/>
      <c r="S267" s="44">
        <v>0.1</v>
      </c>
      <c r="T267" s="44">
        <v>0.1</v>
      </c>
      <c r="U267" s="105">
        <v>0.8</v>
      </c>
      <c r="V267" s="47"/>
      <c r="W267" s="312">
        <f t="shared" si="17"/>
        <v>11200</v>
      </c>
      <c r="X267" s="313"/>
      <c r="Y267" s="63"/>
      <c r="Z267" s="63"/>
      <c r="AA267" s="63"/>
      <c r="AB267" s="64"/>
      <c r="AC267" s="31"/>
    </row>
    <row r="268" spans="1:30" outlineLevel="1" x14ac:dyDescent="0.3">
      <c r="B268" s="10" t="str">
        <f t="shared" si="16"/>
        <v/>
      </c>
      <c r="F268" s="78"/>
      <c r="G268" s="63">
        <v>8</v>
      </c>
      <c r="H268" s="68"/>
      <c r="I268" s="68"/>
      <c r="J268" s="63"/>
      <c r="K268" s="63"/>
      <c r="L268" s="67" t="s">
        <v>86</v>
      </c>
      <c r="M268" s="285" t="str">
        <f>$L$210</f>
        <v>E</v>
      </c>
      <c r="N268" s="31" t="str">
        <f>$M$210</f>
        <v>Deployment, UAT and Documentation</v>
      </c>
      <c r="O268" s="65">
        <f>S210</f>
        <v>45</v>
      </c>
      <c r="P268" s="104">
        <f>ROUND(UAT_EFFORT/5,0)</f>
        <v>9</v>
      </c>
      <c r="Q268" s="45"/>
      <c r="R268" s="269"/>
      <c r="S268" s="44">
        <v>0.4</v>
      </c>
      <c r="T268" s="105">
        <v>0.4</v>
      </c>
      <c r="U268" s="44">
        <v>0.2</v>
      </c>
      <c r="V268" s="47"/>
      <c r="W268" s="312">
        <f t="shared" si="17"/>
        <v>10080</v>
      </c>
      <c r="X268" s="313"/>
      <c r="Y268" s="63"/>
      <c r="Z268" s="63"/>
      <c r="AA268" s="63"/>
      <c r="AB268" s="64"/>
      <c r="AC268" s="31"/>
    </row>
    <row r="269" spans="1:30" outlineLevel="1" x14ac:dyDescent="0.3">
      <c r="B269" s="10" t="str">
        <f t="shared" si="16"/>
        <v/>
      </c>
      <c r="F269" s="78"/>
      <c r="G269" s="63">
        <v>9</v>
      </c>
      <c r="H269" s="68"/>
      <c r="I269" s="68"/>
      <c r="J269" s="63"/>
      <c r="K269" s="63"/>
      <c r="L269" s="67" t="s">
        <v>76</v>
      </c>
      <c r="M269" s="285" t="str">
        <f>$L$233</f>
        <v>F</v>
      </c>
      <c r="N269" s="31" t="str">
        <f>$M$233</f>
        <v>Others</v>
      </c>
      <c r="O269" s="65">
        <f>S233</f>
        <v>94</v>
      </c>
      <c r="P269" s="104">
        <f>ROUND(OTHER_EFFORT/5,0)</f>
        <v>19</v>
      </c>
      <c r="Q269" s="45"/>
      <c r="R269" s="269">
        <v>0.2</v>
      </c>
      <c r="S269" s="105">
        <v>0.8</v>
      </c>
      <c r="T269" s="45"/>
      <c r="U269" s="45"/>
      <c r="V269" s="47"/>
      <c r="W269" s="314">
        <f t="shared" si="17"/>
        <v>21056</v>
      </c>
      <c r="X269" s="315"/>
      <c r="Y269" s="63"/>
      <c r="Z269" s="63"/>
      <c r="AA269" s="63"/>
      <c r="AB269" s="64"/>
      <c r="AC269" s="31"/>
    </row>
    <row r="270" spans="1:30" ht="21" outlineLevel="1" x14ac:dyDescent="0.3">
      <c r="F270" s="78"/>
      <c r="G270" s="68">
        <v>10</v>
      </c>
      <c r="H270" s="68"/>
      <c r="I270" s="68"/>
      <c r="J270" s="63"/>
      <c r="K270" s="63"/>
      <c r="L270" s="63"/>
      <c r="M270" s="294"/>
      <c r="N270" s="100"/>
      <c r="O270" s="261">
        <f>SUM(O264:O269)</f>
        <v>1028</v>
      </c>
      <c r="P270" s="262">
        <f>SUM(P264:P269)</f>
        <v>206</v>
      </c>
      <c r="Q270" s="317" t="s">
        <v>116</v>
      </c>
      <c r="R270" s="317"/>
      <c r="S270" s="317"/>
      <c r="T270" s="317"/>
      <c r="U270" s="317"/>
      <c r="V270" s="317"/>
      <c r="W270" s="316">
        <f>SUM(W264:W269)</f>
        <v>230272</v>
      </c>
      <c r="X270" s="316"/>
      <c r="Y270" s="63"/>
      <c r="Z270" s="63"/>
      <c r="AA270" s="63"/>
      <c r="AB270" s="64"/>
      <c r="AC270" s="31"/>
    </row>
    <row r="271" spans="1:30" outlineLevel="1" x14ac:dyDescent="0.3">
      <c r="F271" s="78"/>
      <c r="G271" s="63"/>
      <c r="H271" s="63"/>
      <c r="I271" s="63"/>
      <c r="J271" s="63"/>
      <c r="K271" s="63"/>
      <c r="L271" s="63"/>
      <c r="M271" s="294"/>
      <c r="N271" s="64"/>
      <c r="O271" s="64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4"/>
      <c r="AC271" s="31"/>
    </row>
    <row r="272" spans="1:30" ht="15" customHeight="1" outlineLevel="1" x14ac:dyDescent="0.3">
      <c r="F272" s="78"/>
      <c r="G272" s="63"/>
      <c r="H272" s="63"/>
      <c r="I272" s="63"/>
      <c r="J272" s="63"/>
      <c r="K272" s="63"/>
      <c r="L272" s="63"/>
      <c r="M272" s="294"/>
      <c r="N272" s="64"/>
      <c r="O272" s="64"/>
      <c r="P272" s="63"/>
      <c r="Q272" s="330" t="s">
        <v>114</v>
      </c>
      <c r="R272" s="330"/>
      <c r="S272" s="330"/>
      <c r="T272" s="330"/>
      <c r="U272" s="330"/>
      <c r="V272" s="330"/>
      <c r="W272" s="318" t="s">
        <v>456</v>
      </c>
      <c r="X272" s="318"/>
      <c r="Y272" s="222"/>
      <c r="Z272" s="222"/>
      <c r="AA272" s="222"/>
      <c r="AB272" s="64"/>
      <c r="AC272" s="31"/>
    </row>
    <row r="273" spans="1:30" ht="15" customHeight="1" outlineLevel="1" x14ac:dyDescent="0.3">
      <c r="F273" s="78"/>
      <c r="G273" s="63"/>
      <c r="H273" s="63"/>
      <c r="I273" s="63"/>
      <c r="J273" s="63"/>
      <c r="K273" s="63"/>
      <c r="L273" s="63"/>
      <c r="M273" s="285"/>
      <c r="N273" s="31"/>
      <c r="O273" s="107" t="s">
        <v>112</v>
      </c>
      <c r="P273" s="108" t="s">
        <v>113</v>
      </c>
      <c r="Q273" s="295" t="s">
        <v>8</v>
      </c>
      <c r="R273" s="295" t="s">
        <v>9</v>
      </c>
      <c r="S273" s="295" t="s">
        <v>10</v>
      </c>
      <c r="T273" s="295" t="s">
        <v>12</v>
      </c>
      <c r="U273" s="295" t="s">
        <v>11</v>
      </c>
      <c r="V273" s="296" t="s">
        <v>13</v>
      </c>
      <c r="W273" s="318"/>
      <c r="X273" s="318"/>
      <c r="Y273" s="63"/>
      <c r="Z273" s="102"/>
      <c r="AA273" s="102"/>
      <c r="AB273" s="102"/>
      <c r="AC273" s="102"/>
    </row>
    <row r="274" spans="1:30" ht="15" customHeight="1" outlineLevel="1" x14ac:dyDescent="0.3">
      <c r="F274" s="78"/>
      <c r="G274" s="63"/>
      <c r="H274" s="63"/>
      <c r="I274" s="63"/>
      <c r="J274" s="63"/>
      <c r="K274" s="63"/>
      <c r="L274" s="63"/>
      <c r="M274" s="285" t="str">
        <f>$L$12</f>
        <v>A</v>
      </c>
      <c r="N274" s="31" t="str">
        <f>$M$12</f>
        <v>Discovery / Requirement Analysis</v>
      </c>
      <c r="O274" s="112">
        <v>42583</v>
      </c>
      <c r="P274" s="109">
        <f>O274+(((P264*REQ_BA_PERCENT)/REQ_BA_COUNT)*7)</f>
        <v>42716.875</v>
      </c>
      <c r="Q274" s="106">
        <v>2</v>
      </c>
      <c r="R274" s="223">
        <v>1</v>
      </c>
      <c r="S274" s="101"/>
      <c r="T274" s="101"/>
      <c r="U274" s="101"/>
      <c r="V274" s="54">
        <v>1</v>
      </c>
      <c r="W274" s="259">
        <v>0.75</v>
      </c>
      <c r="X274" s="63"/>
      <c r="Y274" s="303" t="s">
        <v>194</v>
      </c>
      <c r="Z274" s="303"/>
      <c r="AA274" s="303"/>
      <c r="AB274" s="64"/>
      <c r="AC274" s="103"/>
    </row>
    <row r="275" spans="1:30" outlineLevel="1" x14ac:dyDescent="0.3">
      <c r="F275" s="78"/>
      <c r="G275" s="63"/>
      <c r="H275" s="63"/>
      <c r="I275" s="63"/>
      <c r="J275" s="63"/>
      <c r="K275" s="63"/>
      <c r="L275" s="63"/>
      <c r="M275" s="285" t="str">
        <f>$L$65</f>
        <v>B</v>
      </c>
      <c r="N275" s="31" t="str">
        <f>$M$65</f>
        <v>System Design, Framework and Test Cases</v>
      </c>
      <c r="O275" s="110">
        <f>O274+((P274-O274)*W274)+1</f>
        <v>42684.40625</v>
      </c>
      <c r="P275" s="109">
        <f>O275+(((P265*DESIGN_TA_PERCENT)/DESIGN_TA_COUNT)*7)</f>
        <v>42751.372916666667</v>
      </c>
      <c r="Q275" s="101">
        <v>1</v>
      </c>
      <c r="R275" s="224">
        <v>3</v>
      </c>
      <c r="S275" s="101">
        <v>1</v>
      </c>
      <c r="T275" s="101"/>
      <c r="U275" s="101">
        <v>1</v>
      </c>
      <c r="V275" s="54"/>
      <c r="W275" s="260">
        <v>0.75</v>
      </c>
      <c r="X275" s="63"/>
      <c r="Y275" s="303"/>
      <c r="Z275" s="303"/>
      <c r="AA275" s="303"/>
      <c r="AB275" s="64"/>
      <c r="AC275" s="31"/>
    </row>
    <row r="276" spans="1:30" outlineLevel="1" x14ac:dyDescent="0.3">
      <c r="F276" s="78"/>
      <c r="G276" s="63"/>
      <c r="H276" s="63"/>
      <c r="I276" s="63"/>
      <c r="J276" s="63"/>
      <c r="K276" s="63"/>
      <c r="L276" s="63"/>
      <c r="M276" s="285" t="str">
        <f>$L$96</f>
        <v>C</v>
      </c>
      <c r="N276" s="31" t="str">
        <f>$M$96</f>
        <v>Development and Unit Testing</v>
      </c>
      <c r="O276" s="110">
        <f>O275+((P275-O275)*W275)+1</f>
        <v>42735.631249999999</v>
      </c>
      <c r="P276" s="109">
        <f>O276+(((P266*DEV_DEV_PERCENT)/DEV_DEV_COUNT)*7)</f>
        <v>42936.53125</v>
      </c>
      <c r="Q276" s="101"/>
      <c r="R276" s="223"/>
      <c r="S276" s="101">
        <v>1</v>
      </c>
      <c r="T276" s="106">
        <v>2</v>
      </c>
      <c r="U276" s="101"/>
      <c r="V276" s="54"/>
      <c r="W276" s="259">
        <v>0.75</v>
      </c>
      <c r="X276" s="63"/>
      <c r="Y276" s="303"/>
      <c r="Z276" s="303"/>
      <c r="AA276" s="303"/>
      <c r="AB276" s="64"/>
      <c r="AC276" s="31"/>
    </row>
    <row r="277" spans="1:30" outlineLevel="1" x14ac:dyDescent="0.3">
      <c r="F277" s="78"/>
      <c r="G277" s="63"/>
      <c r="H277" s="63"/>
      <c r="I277" s="63"/>
      <c r="J277" s="63"/>
      <c r="K277" s="63"/>
      <c r="L277" s="63"/>
      <c r="M277" s="285" t="str">
        <f>$L$172</f>
        <v>D</v>
      </c>
      <c r="N277" s="31" t="str">
        <f>$M$172</f>
        <v>System Testing and Stabilization</v>
      </c>
      <c r="O277" s="110">
        <f>O276+((P276-O276)*W276)+1</f>
        <v>42887.306250000001</v>
      </c>
      <c r="P277" s="109">
        <f>O277+(((P267*TESTING_QA_PERCENT)/TESTING_QA_COUNT)*7)</f>
        <v>42943.306250000001</v>
      </c>
      <c r="Q277" s="101"/>
      <c r="R277" s="223"/>
      <c r="S277" s="101">
        <v>1</v>
      </c>
      <c r="T277" s="101">
        <v>2</v>
      </c>
      <c r="U277" s="106">
        <v>1</v>
      </c>
      <c r="V277" s="256"/>
      <c r="W277" s="259">
        <v>1</v>
      </c>
      <c r="X277" s="63"/>
      <c r="Y277" s="303"/>
      <c r="Z277" s="303"/>
      <c r="AA277" s="303"/>
      <c r="AB277" s="64"/>
      <c r="AC277" s="31"/>
    </row>
    <row r="278" spans="1:30" outlineLevel="1" x14ac:dyDescent="0.3">
      <c r="F278" s="78"/>
      <c r="G278" s="63"/>
      <c r="H278" s="63"/>
      <c r="I278" s="63"/>
      <c r="J278" s="63"/>
      <c r="K278" s="63"/>
      <c r="L278" s="63"/>
      <c r="M278" s="285" t="str">
        <f>$L$210</f>
        <v>E</v>
      </c>
      <c r="N278" s="31" t="str">
        <f>$M$210</f>
        <v>Deployment, UAT and Documentation</v>
      </c>
      <c r="O278" s="110">
        <f>O277+((P277-O277)*W277)+1</f>
        <v>42944.306250000001</v>
      </c>
      <c r="P278" s="109">
        <f>O278+(((P268*UAT_DEV_PERCENT)/UAT_DEV_COUNT)*7)</f>
        <v>42956.90625</v>
      </c>
      <c r="Q278" s="101"/>
      <c r="R278" s="223"/>
      <c r="S278" s="101">
        <v>1</v>
      </c>
      <c r="T278" s="106">
        <v>2</v>
      </c>
      <c r="U278" s="101">
        <v>1</v>
      </c>
      <c r="V278" s="54"/>
      <c r="W278" s="259">
        <v>1</v>
      </c>
      <c r="X278" s="63"/>
      <c r="Y278" s="303"/>
      <c r="Z278" s="303"/>
      <c r="AA278" s="303"/>
      <c r="AB278" s="64"/>
      <c r="AC278" s="31"/>
    </row>
    <row r="279" spans="1:30" outlineLevel="1" x14ac:dyDescent="0.3">
      <c r="F279" s="78"/>
      <c r="G279" s="63"/>
      <c r="H279" s="63"/>
      <c r="I279" s="63"/>
      <c r="J279" s="63"/>
      <c r="K279" s="63"/>
      <c r="L279" s="63"/>
      <c r="M279" s="285" t="str">
        <f>$L$233</f>
        <v>F</v>
      </c>
      <c r="N279" s="31" t="str">
        <f>$M$233</f>
        <v>Others</v>
      </c>
      <c r="O279" s="111">
        <f>O278+((P278-O278)*W278)+1</f>
        <v>42957.90625</v>
      </c>
      <c r="P279" s="118">
        <f>O279+(((P269*OTHER_TL_PERCENT)/OTHER_TL_COUNT)*7)</f>
        <v>43064.306250000001</v>
      </c>
      <c r="Q279" s="119"/>
      <c r="R279" s="225">
        <v>0.5</v>
      </c>
      <c r="S279" s="120">
        <v>1</v>
      </c>
      <c r="T279" s="119"/>
      <c r="U279" s="119"/>
      <c r="V279" s="121"/>
      <c r="W279" s="257"/>
      <c r="X279" s="63"/>
      <c r="Y279" s="63"/>
      <c r="Z279" s="63"/>
      <c r="AA279" s="63"/>
      <c r="AB279" s="64"/>
      <c r="AC279" s="31"/>
    </row>
    <row r="280" spans="1:30" ht="15.6" outlineLevel="1" x14ac:dyDescent="0.3">
      <c r="F280" s="78"/>
      <c r="G280" s="63">
        <v>1</v>
      </c>
      <c r="H280" s="63"/>
      <c r="I280" s="63"/>
      <c r="J280" s="63"/>
      <c r="K280" s="63"/>
      <c r="L280" s="28"/>
      <c r="M280" s="285"/>
      <c r="N280" s="28"/>
      <c r="O280" s="115" t="s">
        <v>118</v>
      </c>
      <c r="P280" s="124">
        <f>NETWORKDAYS(START_DATE,AUTOMATED_END_DATE)/5</f>
        <v>69</v>
      </c>
      <c r="Q280" s="123" t="s">
        <v>94</v>
      </c>
      <c r="R280" s="122"/>
      <c r="S280" s="117" t="s">
        <v>117</v>
      </c>
      <c r="T280" s="336">
        <f>AUTOMATED_END_DATE</f>
        <v>43064.306250000001</v>
      </c>
      <c r="U280" s="336"/>
      <c r="V280" s="258"/>
      <c r="W280" s="258"/>
      <c r="X280" s="258"/>
      <c r="Y280" s="28"/>
      <c r="Z280" s="28"/>
      <c r="AA280" s="28"/>
      <c r="AB280" s="31"/>
      <c r="AC280" s="31"/>
    </row>
    <row r="281" spans="1:30" ht="15.6" outlineLevel="1" x14ac:dyDescent="0.3">
      <c r="F281" s="78"/>
      <c r="G281" s="63">
        <v>2</v>
      </c>
      <c r="H281" s="63"/>
      <c r="I281" s="63"/>
      <c r="J281" s="63"/>
      <c r="K281" s="63"/>
      <c r="L281" s="28"/>
      <c r="M281" s="285"/>
      <c r="N281" s="28"/>
      <c r="O281" s="115" t="s">
        <v>119</v>
      </c>
      <c r="P281" s="124">
        <f>NETWORKDAYS(START_DATE,MANUAL_END_DATE)/5</f>
        <v>-143</v>
      </c>
      <c r="Q281" s="123" t="s">
        <v>94</v>
      </c>
      <c r="R281" s="116"/>
      <c r="S281" s="117" t="s">
        <v>117</v>
      </c>
      <c r="T281" s="336">
        <f>MANUAL_END_DATE</f>
        <v>41583</v>
      </c>
      <c r="U281" s="336"/>
      <c r="V281" s="258"/>
      <c r="W281" s="258"/>
      <c r="X281" s="258"/>
      <c r="Y281" s="28"/>
      <c r="Z281" s="28"/>
      <c r="AA281" s="28"/>
      <c r="AB281" s="31"/>
      <c r="AC281" s="31"/>
    </row>
    <row r="282" spans="1:30" ht="15" customHeight="1" outlineLevel="1" x14ac:dyDescent="0.3">
      <c r="F282" s="78"/>
      <c r="G282" s="63"/>
      <c r="H282" s="63"/>
      <c r="I282" s="63"/>
      <c r="J282" s="63"/>
      <c r="K282" s="63"/>
      <c r="L282" s="28"/>
      <c r="M282" s="285"/>
      <c r="N282" s="28"/>
      <c r="O282" s="113"/>
      <c r="P282" s="66"/>
      <c r="Q282" s="114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31"/>
      <c r="AC282" s="31"/>
    </row>
    <row r="283" spans="1:30" outlineLevel="1" x14ac:dyDescent="0.3">
      <c r="F283" s="78"/>
      <c r="G283" s="63">
        <v>3</v>
      </c>
      <c r="H283" s="63"/>
      <c r="I283" s="63"/>
      <c r="J283" s="63"/>
      <c r="K283" s="63"/>
      <c r="L283" s="28"/>
      <c r="M283" s="285"/>
      <c r="N283" s="31"/>
      <c r="O283" s="31"/>
      <c r="P283" s="28"/>
      <c r="Q283" s="28"/>
      <c r="R283" s="28"/>
      <c r="S283" s="75" t="s">
        <v>115</v>
      </c>
      <c r="T283" s="76" t="s">
        <v>92</v>
      </c>
      <c r="U283" s="28"/>
      <c r="V283" s="28"/>
      <c r="W283" s="28"/>
      <c r="X283" s="28"/>
      <c r="Y283" s="28"/>
      <c r="Z283" s="28"/>
      <c r="AA283" s="28"/>
      <c r="AB283" s="31"/>
      <c r="AC283" s="31"/>
    </row>
    <row r="284" spans="1:30" outlineLevel="1" x14ac:dyDescent="0.3">
      <c r="F284" s="78"/>
      <c r="G284" s="63"/>
      <c r="H284" s="63"/>
      <c r="I284" s="63"/>
      <c r="J284" s="63"/>
      <c r="K284" s="63"/>
      <c r="L284" s="28"/>
      <c r="M284" s="285"/>
      <c r="N284" s="31"/>
      <c r="O284" s="31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31"/>
      <c r="AC284" s="31"/>
    </row>
    <row r="285" spans="1:30" s="11" customFormat="1" ht="20.25" customHeight="1" outlineLevel="1" x14ac:dyDescent="0.3">
      <c r="A285" s="93"/>
      <c r="B285" s="10"/>
      <c r="C285" s="78"/>
      <c r="D285" s="78"/>
      <c r="E285" s="78"/>
      <c r="F285" s="78"/>
      <c r="G285" s="43"/>
      <c r="H285" s="43"/>
      <c r="I285" s="43"/>
      <c r="J285" s="43"/>
      <c r="K285" s="43"/>
      <c r="L285" s="43"/>
      <c r="M285" s="281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12"/>
    </row>
    <row r="286" spans="1:30" s="11" customFormat="1" x14ac:dyDescent="0.3">
      <c r="A286" s="93"/>
      <c r="B286" s="10"/>
      <c r="C286" s="80"/>
      <c r="D286" s="80"/>
      <c r="E286" s="80"/>
      <c r="F286" s="78"/>
      <c r="M286" s="275"/>
      <c r="N286" s="12"/>
      <c r="O286" s="12"/>
      <c r="AB286" s="12"/>
      <c r="AC286" s="12"/>
      <c r="AD286" s="12"/>
    </row>
    <row r="287" spans="1:30" s="11" customFormat="1" ht="20.25" customHeight="1" x14ac:dyDescent="0.3">
      <c r="A287" s="93"/>
      <c r="B287" s="10"/>
      <c r="C287" s="78"/>
      <c r="D287" s="78"/>
      <c r="E287" s="78"/>
      <c r="F287" s="78"/>
      <c r="G287" s="324" t="s">
        <v>48</v>
      </c>
      <c r="H287" s="324"/>
      <c r="I287" s="178"/>
      <c r="J287" s="43"/>
      <c r="K287" s="43"/>
      <c r="L287" s="39"/>
      <c r="M287" s="289" t="s">
        <v>185</v>
      </c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219" t="str">
        <f>TEMPLATE_NAME&amp;" "&amp;TEMPLATE_VER</f>
        <v>AG Estimation Template -  Version 2.0.4</v>
      </c>
      <c r="AC287" s="39"/>
      <c r="AD287" s="12"/>
    </row>
    <row r="288" spans="1:30" s="11" customFormat="1" outlineLevel="1" x14ac:dyDescent="0.3">
      <c r="A288" s="93"/>
      <c r="B288" s="10"/>
      <c r="C288" s="80"/>
      <c r="D288" s="80"/>
      <c r="E288" s="80"/>
      <c r="F288" s="78"/>
      <c r="G288" s="28"/>
      <c r="H288" s="28"/>
      <c r="I288" s="28"/>
      <c r="J288" s="28"/>
      <c r="K288" s="28"/>
      <c r="L288" s="28"/>
      <c r="M288" s="285"/>
      <c r="N288" s="31"/>
      <c r="O288" s="31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31"/>
      <c r="AC288" s="31"/>
      <c r="AD288" s="12"/>
    </row>
    <row r="289" spans="1:30" s="11" customFormat="1" ht="15" customHeight="1" outlineLevel="1" x14ac:dyDescent="0.3">
      <c r="A289" s="93"/>
      <c r="B289" s="10"/>
      <c r="C289" s="80"/>
      <c r="D289" s="80"/>
      <c r="E289" s="80"/>
      <c r="F289" s="78"/>
      <c r="G289" s="28"/>
      <c r="H289" s="28"/>
      <c r="I289" s="28"/>
      <c r="J289" s="28"/>
      <c r="K289" s="28"/>
      <c r="L289" s="28"/>
      <c r="M289" s="285"/>
      <c r="N289" s="142" t="s">
        <v>130</v>
      </c>
      <c r="O289" s="31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31"/>
      <c r="AC289" s="31"/>
      <c r="AD289" s="12"/>
    </row>
    <row r="290" spans="1:30" s="11" customFormat="1" ht="14.25" customHeight="1" outlineLevel="1" x14ac:dyDescent="0.3">
      <c r="A290" s="93"/>
      <c r="B290" s="10"/>
      <c r="C290" s="78"/>
      <c r="D290" s="78"/>
      <c r="E290" s="78"/>
      <c r="F290" s="78"/>
      <c r="G290" s="28"/>
      <c r="H290" s="28"/>
      <c r="I290" s="28"/>
      <c r="J290" s="28"/>
      <c r="K290" s="28"/>
      <c r="L290" s="28"/>
      <c r="M290" s="285"/>
      <c r="N290" s="157" t="s">
        <v>5</v>
      </c>
      <c r="O290" s="155" t="s">
        <v>591</v>
      </c>
      <c r="P290" s="187"/>
      <c r="Q290" s="187"/>
      <c r="R290" s="188"/>
      <c r="S290" s="189"/>
      <c r="T290" s="187"/>
      <c r="U290" s="187"/>
      <c r="V290" s="187"/>
      <c r="W290" s="187"/>
      <c r="X290" s="28"/>
      <c r="Y290" s="28"/>
      <c r="Z290" s="28"/>
      <c r="AA290" s="28"/>
      <c r="AB290" s="28"/>
      <c r="AC290" s="31"/>
      <c r="AD290" s="12"/>
    </row>
    <row r="291" spans="1:30" s="11" customFormat="1" ht="14.25" customHeight="1" outlineLevel="1" x14ac:dyDescent="0.3">
      <c r="A291" s="93"/>
      <c r="B291" s="10"/>
      <c r="C291" s="78"/>
      <c r="D291" s="78"/>
      <c r="E291" s="78"/>
      <c r="F291" s="78"/>
      <c r="G291" s="28"/>
      <c r="H291" s="28"/>
      <c r="I291" s="28"/>
      <c r="J291" s="28"/>
      <c r="K291" s="28"/>
      <c r="L291" s="28"/>
      <c r="M291" s="285"/>
      <c r="N291" s="157" t="s">
        <v>30</v>
      </c>
      <c r="O291" s="156" t="s">
        <v>592</v>
      </c>
      <c r="P291" s="187"/>
      <c r="Q291" s="187"/>
      <c r="R291" s="189"/>
      <c r="S291" s="189"/>
      <c r="T291" s="187"/>
      <c r="U291" s="187"/>
      <c r="V291" s="187"/>
      <c r="W291" s="187"/>
      <c r="X291" s="28"/>
      <c r="Y291" s="28"/>
      <c r="Z291" s="28"/>
      <c r="AA291" s="28"/>
      <c r="AB291" s="28"/>
      <c r="AC291" s="31"/>
      <c r="AD291" s="12"/>
    </row>
    <row r="292" spans="1:30" s="11" customFormat="1" ht="14.25" customHeight="1" outlineLevel="1" x14ac:dyDescent="0.3">
      <c r="A292" s="93"/>
      <c r="B292" s="10"/>
      <c r="C292" s="78"/>
      <c r="D292" s="78"/>
      <c r="E292" s="78"/>
      <c r="F292" s="78"/>
      <c r="G292" s="28"/>
      <c r="H292" s="28"/>
      <c r="I292" s="28"/>
      <c r="J292" s="28"/>
      <c r="K292" s="28"/>
      <c r="L292" s="28"/>
      <c r="M292" s="285"/>
      <c r="N292" s="157" t="s">
        <v>36</v>
      </c>
      <c r="O292" s="156" t="s">
        <v>38</v>
      </c>
      <c r="P292" s="187"/>
      <c r="Q292" s="187"/>
      <c r="R292" s="189"/>
      <c r="S292" s="140"/>
      <c r="T292" s="140"/>
      <c r="U292" s="140"/>
      <c r="V292" s="187"/>
      <c r="W292" s="187"/>
      <c r="X292" s="28"/>
      <c r="Y292" s="28"/>
      <c r="Z292" s="28"/>
      <c r="AA292" s="28"/>
      <c r="AB292" s="28"/>
      <c r="AC292" s="31"/>
      <c r="AD292" s="12"/>
    </row>
    <row r="293" spans="1:30" s="11" customFormat="1" ht="14.25" customHeight="1" outlineLevel="1" x14ac:dyDescent="0.3">
      <c r="A293" s="93"/>
      <c r="B293" s="10"/>
      <c r="C293" s="78"/>
      <c r="D293" s="78"/>
      <c r="E293" s="78"/>
      <c r="F293" s="78"/>
      <c r="G293" s="28"/>
      <c r="H293" s="28"/>
      <c r="I293" s="28"/>
      <c r="J293" s="28"/>
      <c r="K293" s="28"/>
      <c r="L293" s="28"/>
      <c r="M293" s="285"/>
      <c r="N293" s="157" t="s">
        <v>31</v>
      </c>
      <c r="O293" s="156" t="s">
        <v>32</v>
      </c>
      <c r="P293" s="187"/>
      <c r="Q293" s="187"/>
      <c r="R293" s="189"/>
      <c r="S293" s="140"/>
      <c r="T293" s="140"/>
      <c r="U293" s="140"/>
      <c r="V293" s="187"/>
      <c r="W293" s="187"/>
      <c r="X293" s="28"/>
      <c r="Y293" s="28"/>
      <c r="Z293" s="28"/>
      <c r="AA293" s="28"/>
      <c r="AB293" s="28"/>
      <c r="AC293" s="31"/>
      <c r="AD293" s="12"/>
    </row>
    <row r="294" spans="1:30" s="11" customFormat="1" ht="14.25" customHeight="1" outlineLevel="1" x14ac:dyDescent="0.3">
      <c r="A294" s="93"/>
      <c r="B294" s="10"/>
      <c r="C294" s="78"/>
      <c r="D294" s="78"/>
      <c r="E294" s="78"/>
      <c r="F294" s="78"/>
      <c r="G294" s="28"/>
      <c r="H294" s="28"/>
      <c r="I294" s="28"/>
      <c r="J294" s="28"/>
      <c r="K294" s="28"/>
      <c r="L294" s="28"/>
      <c r="M294" s="285"/>
      <c r="N294" s="157" t="s">
        <v>56</v>
      </c>
      <c r="O294" s="156"/>
      <c r="P294" s="187"/>
      <c r="Q294" s="187"/>
      <c r="R294" s="189"/>
      <c r="S294" s="140"/>
      <c r="T294" s="140"/>
      <c r="U294" s="140"/>
      <c r="V294" s="187"/>
      <c r="W294" s="187"/>
      <c r="X294" s="28"/>
      <c r="Y294" s="28"/>
      <c r="Z294" s="28"/>
      <c r="AA294" s="28"/>
      <c r="AB294" s="28"/>
      <c r="AC294" s="31"/>
      <c r="AD294" s="12"/>
    </row>
    <row r="295" spans="1:30" s="11" customFormat="1" ht="14.25" customHeight="1" outlineLevel="1" x14ac:dyDescent="0.3">
      <c r="A295" s="93"/>
      <c r="B295" s="10"/>
      <c r="C295" s="78"/>
      <c r="D295" s="78"/>
      <c r="E295" s="78"/>
      <c r="F295" s="78"/>
      <c r="G295" s="28"/>
      <c r="H295" s="28"/>
      <c r="I295" s="28"/>
      <c r="J295" s="28"/>
      <c r="K295" s="28"/>
      <c r="L295" s="28"/>
      <c r="M295" s="285"/>
      <c r="N295" s="157" t="s">
        <v>67</v>
      </c>
      <c r="O295" s="156" t="s">
        <v>6</v>
      </c>
      <c r="P295" s="187"/>
      <c r="Q295" s="187"/>
      <c r="R295" s="155"/>
      <c r="S295" s="140"/>
      <c r="T295" s="140"/>
      <c r="U295" s="140"/>
      <c r="V295" s="187"/>
      <c r="W295" s="187"/>
      <c r="X295" s="28"/>
      <c r="Y295" s="28"/>
      <c r="Z295" s="28"/>
      <c r="AA295" s="28"/>
      <c r="AB295" s="28"/>
      <c r="AC295" s="31"/>
      <c r="AD295" s="12"/>
    </row>
    <row r="296" spans="1:30" s="11" customFormat="1" ht="14.25" customHeight="1" outlineLevel="1" x14ac:dyDescent="0.3">
      <c r="A296" s="93"/>
      <c r="B296" s="10"/>
      <c r="C296" s="78"/>
      <c r="D296" s="78"/>
      <c r="E296" s="78"/>
      <c r="F296" s="78"/>
      <c r="G296" s="28"/>
      <c r="H296" s="28"/>
      <c r="I296" s="28"/>
      <c r="J296" s="28"/>
      <c r="K296" s="28"/>
      <c r="L296" s="28"/>
      <c r="M296" s="285"/>
      <c r="N296" s="157" t="s">
        <v>4</v>
      </c>
      <c r="O296" s="155" t="s">
        <v>23</v>
      </c>
      <c r="P296" s="187"/>
      <c r="Q296" s="187"/>
      <c r="R296" s="187"/>
      <c r="S296" s="140"/>
      <c r="T296" s="140"/>
      <c r="U296" s="140"/>
      <c r="V296" s="187"/>
      <c r="W296" s="187"/>
      <c r="X296" s="28"/>
      <c r="Y296" s="28"/>
      <c r="Z296" s="28"/>
      <c r="AA296" s="28"/>
      <c r="AB296" s="28"/>
      <c r="AC296" s="31"/>
      <c r="AD296" s="12"/>
    </row>
    <row r="297" spans="1:30" s="11" customFormat="1" ht="14.25" customHeight="1" outlineLevel="1" x14ac:dyDescent="0.3">
      <c r="A297" s="93"/>
      <c r="B297" s="10"/>
      <c r="C297" s="78"/>
      <c r="D297" s="78"/>
      <c r="E297" s="78"/>
      <c r="F297" s="78"/>
      <c r="G297" s="28"/>
      <c r="H297" s="28"/>
      <c r="I297" s="28"/>
      <c r="J297" s="28"/>
      <c r="K297" s="28"/>
      <c r="L297" s="28"/>
      <c r="M297" s="285"/>
      <c r="N297" s="157" t="s">
        <v>26</v>
      </c>
      <c r="O297" s="155" t="s">
        <v>23</v>
      </c>
      <c r="P297" s="187"/>
      <c r="Q297" s="187"/>
      <c r="R297" s="187"/>
      <c r="S297" s="140"/>
      <c r="T297" s="140"/>
      <c r="U297" s="140"/>
      <c r="V297" s="187"/>
      <c r="W297" s="187"/>
      <c r="X297" s="28"/>
      <c r="Y297" s="28"/>
      <c r="Z297" s="28"/>
      <c r="AA297" s="28"/>
      <c r="AB297" s="28"/>
      <c r="AC297" s="31"/>
      <c r="AD297" s="12"/>
    </row>
    <row r="298" spans="1:30" s="11" customFormat="1" ht="14.25" customHeight="1" outlineLevel="1" x14ac:dyDescent="0.3">
      <c r="A298" s="93"/>
      <c r="B298" s="10"/>
      <c r="C298" s="78"/>
      <c r="D298" s="78"/>
      <c r="E298" s="78"/>
      <c r="F298" s="78"/>
      <c r="G298" s="28"/>
      <c r="H298" s="28"/>
      <c r="I298" s="28"/>
      <c r="J298" s="28"/>
      <c r="K298" s="28"/>
      <c r="L298" s="28"/>
      <c r="M298" s="285"/>
      <c r="N298" s="157"/>
      <c r="O298" s="28"/>
      <c r="P298" s="28"/>
      <c r="Q298" s="28"/>
      <c r="R298" s="28"/>
      <c r="S298" s="139"/>
      <c r="T298" s="139"/>
      <c r="U298" s="139"/>
      <c r="V298" s="139"/>
      <c r="W298" s="139"/>
      <c r="X298" s="28"/>
      <c r="Y298" s="28"/>
      <c r="Z298" s="28"/>
      <c r="AA298" s="28"/>
      <c r="AB298" s="139"/>
      <c r="AC298" s="31"/>
      <c r="AD298" s="12"/>
    </row>
    <row r="299" spans="1:30" s="11" customFormat="1" ht="15" customHeight="1" outlineLevel="1" x14ac:dyDescent="0.3">
      <c r="A299" s="93"/>
      <c r="B299" s="10"/>
      <c r="C299" s="80"/>
      <c r="D299" s="80"/>
      <c r="E299" s="80"/>
      <c r="F299" s="78"/>
      <c r="G299" s="28"/>
      <c r="H299" s="28"/>
      <c r="I299" s="28"/>
      <c r="J299" s="28"/>
      <c r="K299" s="28"/>
      <c r="L299" s="28"/>
      <c r="M299" s="285"/>
      <c r="N299" s="332" t="str">
        <f>"Total effort is "&amp;TEXT(TOTAL_EFFORT,"##,##,###")&amp;" PDs. How much up or down it can safely be without being way off?"</f>
        <v>Total effort is 1,028 PDs. How much up or down it can safely be without being way off?</v>
      </c>
      <c r="O299" s="142" t="s">
        <v>128</v>
      </c>
      <c r="P299" s="142" t="s">
        <v>129</v>
      </c>
      <c r="Q299" s="28"/>
      <c r="R299" s="28"/>
      <c r="S299" s="139"/>
      <c r="T299" s="139"/>
      <c r="U299" s="139"/>
      <c r="V299" s="139"/>
      <c r="W299" s="139"/>
      <c r="X299" s="28"/>
      <c r="Y299" s="28"/>
      <c r="Z299" s="28"/>
      <c r="AA299" s="28"/>
      <c r="AB299" s="31"/>
      <c r="AC299" s="31"/>
      <c r="AD299" s="12"/>
    </row>
    <row r="300" spans="1:30" s="11" customFormat="1" ht="15" customHeight="1" outlineLevel="1" x14ac:dyDescent="0.3">
      <c r="A300" s="93"/>
      <c r="B300" s="10"/>
      <c r="C300" s="80"/>
      <c r="D300" s="80"/>
      <c r="E300" s="80"/>
      <c r="F300" s="78"/>
      <c r="G300" s="28"/>
      <c r="H300" s="28"/>
      <c r="I300" s="28"/>
      <c r="J300" s="28"/>
      <c r="K300" s="28"/>
      <c r="L300" s="28"/>
      <c r="M300" s="285"/>
      <c r="N300" s="332"/>
      <c r="O300" s="151">
        <v>-0.2</v>
      </c>
      <c r="P300" s="152">
        <v>0.2</v>
      </c>
      <c r="Q300" s="28"/>
      <c r="R300" s="28"/>
      <c r="S300" s="139"/>
      <c r="T300" s="139"/>
      <c r="U300" s="139"/>
      <c r="V300" s="139"/>
      <c r="W300" s="139"/>
      <c r="X300" s="28"/>
      <c r="Y300" s="28"/>
      <c r="Z300" s="28"/>
      <c r="AA300" s="28"/>
      <c r="AB300" s="31"/>
      <c r="AC300" s="31"/>
      <c r="AD300" s="12"/>
    </row>
    <row r="301" spans="1:30" s="11" customFormat="1" outlineLevel="1" x14ac:dyDescent="0.3">
      <c r="A301" s="93"/>
      <c r="B301" s="10"/>
      <c r="C301" s="80"/>
      <c r="D301" s="80"/>
      <c r="E301" s="80"/>
      <c r="F301" s="78"/>
      <c r="G301" s="28"/>
      <c r="H301" s="28"/>
      <c r="I301" s="28"/>
      <c r="J301" s="28"/>
      <c r="K301" s="28"/>
      <c r="L301" s="28"/>
      <c r="M301" s="285"/>
      <c r="N301" s="332"/>
      <c r="O301" s="31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31"/>
      <c r="AC301" s="31"/>
      <c r="AD301" s="12"/>
    </row>
    <row r="302" spans="1:30" s="11" customFormat="1" outlineLevel="1" x14ac:dyDescent="0.3">
      <c r="A302" s="93"/>
      <c r="B302" s="10"/>
      <c r="C302" s="80"/>
      <c r="D302" s="80"/>
      <c r="E302" s="80"/>
      <c r="F302" s="78"/>
      <c r="G302" s="28"/>
      <c r="H302" s="28"/>
      <c r="I302" s="28"/>
      <c r="J302" s="28"/>
      <c r="K302" s="28"/>
      <c r="L302" s="28"/>
      <c r="M302" s="285"/>
      <c r="N302" s="161" t="s">
        <v>457</v>
      </c>
      <c r="O302" s="139"/>
      <c r="P302" s="162" t="s">
        <v>96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31"/>
      <c r="AC302" s="31"/>
      <c r="AD302" s="12"/>
    </row>
    <row r="303" spans="1:30" s="11" customFormat="1" outlineLevel="1" x14ac:dyDescent="0.3">
      <c r="A303" s="93"/>
      <c r="B303" s="10"/>
      <c r="C303" s="80"/>
      <c r="D303" s="80"/>
      <c r="E303" s="80"/>
      <c r="F303" s="78"/>
      <c r="G303" s="28"/>
      <c r="H303" s="28"/>
      <c r="I303" s="28"/>
      <c r="J303" s="28"/>
      <c r="K303" s="28"/>
      <c r="L303" s="28"/>
      <c r="M303" s="285"/>
      <c r="N303" s="263" t="s">
        <v>156</v>
      </c>
      <c r="O303" s="28"/>
      <c r="P303" s="160" t="s">
        <v>78</v>
      </c>
      <c r="Q303" s="141" t="s">
        <v>193</v>
      </c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31"/>
      <c r="AD303" s="12"/>
    </row>
    <row r="304" spans="1:30" s="11" customFormat="1" outlineLevel="1" x14ac:dyDescent="0.3">
      <c r="A304" s="93"/>
      <c r="B304" s="10"/>
      <c r="C304" s="80"/>
      <c r="D304" s="80"/>
      <c r="E304" s="80"/>
      <c r="F304" s="78"/>
      <c r="G304" s="28"/>
      <c r="H304" s="28"/>
      <c r="I304" s="28"/>
      <c r="J304" s="28"/>
      <c r="K304" s="28"/>
      <c r="L304" s="28"/>
      <c r="M304" s="285"/>
      <c r="N304" s="263" t="s">
        <v>169</v>
      </c>
      <c r="O304" s="28"/>
      <c r="P304" s="160" t="s">
        <v>97</v>
      </c>
      <c r="Q304" s="141" t="s">
        <v>192</v>
      </c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31"/>
      <c r="AD304" s="12"/>
    </row>
    <row r="305" spans="1:30" s="11" customFormat="1" outlineLevel="1" x14ac:dyDescent="0.3">
      <c r="A305" s="93"/>
      <c r="B305" s="10"/>
      <c r="C305" s="80"/>
      <c r="D305" s="80"/>
      <c r="E305" s="80"/>
      <c r="F305" s="78"/>
      <c r="G305" s="28"/>
      <c r="H305" s="28"/>
      <c r="I305" s="28"/>
      <c r="J305" s="28"/>
      <c r="K305" s="28"/>
      <c r="L305" s="28"/>
      <c r="M305" s="285"/>
      <c r="N305" s="263" t="s">
        <v>170</v>
      </c>
      <c r="O305" s="28"/>
      <c r="P305" s="28"/>
      <c r="Q305" s="28"/>
      <c r="R305" s="28"/>
      <c r="S305" s="28"/>
      <c r="T305" s="28"/>
      <c r="U305" s="160"/>
      <c r="V305" s="28"/>
      <c r="W305" s="28"/>
      <c r="X305" s="28"/>
      <c r="Y305" s="28"/>
      <c r="Z305" s="28"/>
      <c r="AA305" s="28"/>
      <c r="AB305" s="28"/>
      <c r="AC305" s="31"/>
      <c r="AD305" s="12"/>
    </row>
    <row r="306" spans="1:30" s="11" customFormat="1" ht="15" customHeight="1" outlineLevel="1" x14ac:dyDescent="0.3">
      <c r="A306" s="93"/>
      <c r="B306" s="10"/>
      <c r="C306" s="80"/>
      <c r="D306" s="80"/>
      <c r="E306" s="80"/>
      <c r="F306" s="78"/>
      <c r="G306" s="28"/>
      <c r="H306" s="28"/>
      <c r="I306" s="28"/>
      <c r="J306" s="28"/>
      <c r="K306" s="28"/>
      <c r="L306" s="28"/>
      <c r="M306" s="285"/>
      <c r="N306" s="263" t="s">
        <v>171</v>
      </c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31"/>
      <c r="AD306" s="12"/>
    </row>
    <row r="307" spans="1:30" s="11" customFormat="1" outlineLevel="1" x14ac:dyDescent="0.3">
      <c r="A307" s="93"/>
      <c r="B307" s="10"/>
      <c r="C307" s="80"/>
      <c r="D307" s="80"/>
      <c r="E307" s="80"/>
      <c r="F307" s="78"/>
      <c r="G307" s="28"/>
      <c r="H307" s="28"/>
      <c r="I307" s="28"/>
      <c r="J307" s="28"/>
      <c r="K307" s="28"/>
      <c r="L307" s="28"/>
      <c r="M307" s="285"/>
      <c r="N307" s="263" t="s">
        <v>172</v>
      </c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31"/>
      <c r="AD307" s="12"/>
    </row>
    <row r="308" spans="1:30" s="11" customFormat="1" outlineLevel="1" x14ac:dyDescent="0.3">
      <c r="A308" s="93"/>
      <c r="B308" s="10"/>
      <c r="C308" s="80"/>
      <c r="D308" s="80"/>
      <c r="E308" s="80"/>
      <c r="F308" s="78"/>
      <c r="G308" s="28"/>
      <c r="H308" s="28"/>
      <c r="I308" s="28"/>
      <c r="J308" s="28"/>
      <c r="K308" s="28"/>
      <c r="L308" s="28"/>
      <c r="M308" s="285"/>
      <c r="N308" s="263" t="s">
        <v>173</v>
      </c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31"/>
      <c r="AD308" s="12"/>
    </row>
    <row r="309" spans="1:30" s="11" customFormat="1" outlineLevel="1" x14ac:dyDescent="0.3">
      <c r="A309" s="93"/>
      <c r="B309" s="10"/>
      <c r="C309" s="80"/>
      <c r="D309" s="80"/>
      <c r="E309" s="80"/>
      <c r="F309" s="78"/>
      <c r="G309" s="28"/>
      <c r="H309" s="28"/>
      <c r="I309" s="28"/>
      <c r="J309" s="28"/>
      <c r="K309" s="28"/>
      <c r="L309" s="28"/>
      <c r="M309" s="285"/>
      <c r="N309" s="263" t="s">
        <v>174</v>
      </c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31"/>
      <c r="AD309" s="12"/>
    </row>
    <row r="310" spans="1:30" s="11" customFormat="1" outlineLevel="1" x14ac:dyDescent="0.3">
      <c r="A310" s="93"/>
      <c r="B310" s="10"/>
      <c r="C310" s="80"/>
      <c r="D310" s="80"/>
      <c r="E310" s="80"/>
      <c r="F310" s="78"/>
      <c r="G310" s="28"/>
      <c r="H310" s="28"/>
      <c r="I310" s="28"/>
      <c r="J310" s="28"/>
      <c r="K310" s="28"/>
      <c r="L310" s="28"/>
      <c r="M310" s="285"/>
      <c r="N310" s="263" t="s">
        <v>155</v>
      </c>
      <c r="O310" s="31"/>
      <c r="P310" s="141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31"/>
      <c r="AD310" s="12"/>
    </row>
    <row r="311" spans="1:30" s="11" customFormat="1" outlineLevel="1" x14ac:dyDescent="0.3">
      <c r="A311" s="93"/>
      <c r="B311" s="10"/>
      <c r="C311" s="80"/>
      <c r="D311" s="80"/>
      <c r="E311" s="80"/>
      <c r="F311" s="78"/>
      <c r="G311" s="28"/>
      <c r="H311" s="28"/>
      <c r="I311" s="28"/>
      <c r="J311" s="28"/>
      <c r="K311" s="28"/>
      <c r="L311" s="28"/>
      <c r="M311" s="285"/>
      <c r="N311" s="263" t="s">
        <v>158</v>
      </c>
      <c r="O311" s="31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31"/>
      <c r="AD311" s="12"/>
    </row>
    <row r="312" spans="1:30" s="11" customFormat="1" outlineLevel="1" x14ac:dyDescent="0.3">
      <c r="A312" s="93"/>
      <c r="B312" s="10"/>
      <c r="C312" s="80"/>
      <c r="D312" s="80"/>
      <c r="E312" s="80"/>
      <c r="F312" s="78"/>
      <c r="G312" s="28"/>
      <c r="H312" s="28"/>
      <c r="I312" s="28"/>
      <c r="J312" s="28"/>
      <c r="K312" s="28"/>
      <c r="L312" s="28"/>
      <c r="M312" s="285"/>
      <c r="N312" s="263" t="s">
        <v>160</v>
      </c>
      <c r="O312" s="31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31"/>
      <c r="AD312" s="12"/>
    </row>
    <row r="313" spans="1:30" s="11" customFormat="1" outlineLevel="1" x14ac:dyDescent="0.3">
      <c r="A313" s="93"/>
      <c r="B313" s="10"/>
      <c r="C313" s="80"/>
      <c r="D313" s="80"/>
      <c r="E313" s="80"/>
      <c r="F313" s="78"/>
      <c r="G313" s="28"/>
      <c r="H313" s="28"/>
      <c r="I313" s="28"/>
      <c r="J313" s="28"/>
      <c r="K313" s="28"/>
      <c r="L313" s="28"/>
      <c r="M313" s="285"/>
      <c r="N313" s="263" t="s">
        <v>159</v>
      </c>
      <c r="O313" s="31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31"/>
      <c r="AD313" s="12"/>
    </row>
    <row r="314" spans="1:30" s="11" customFormat="1" outlineLevel="1" x14ac:dyDescent="0.3">
      <c r="A314" s="93"/>
      <c r="B314" s="10"/>
      <c r="C314" s="80"/>
      <c r="D314" s="80"/>
      <c r="E314" s="80"/>
      <c r="F314" s="78"/>
      <c r="G314" s="28"/>
      <c r="H314" s="28"/>
      <c r="I314" s="28"/>
      <c r="J314" s="28"/>
      <c r="K314" s="28"/>
      <c r="L314" s="28"/>
      <c r="M314" s="285"/>
      <c r="N314" s="263" t="s">
        <v>161</v>
      </c>
      <c r="O314" s="31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31"/>
      <c r="AD314" s="12"/>
    </row>
    <row r="315" spans="1:30" s="11" customFormat="1" outlineLevel="1" x14ac:dyDescent="0.3">
      <c r="A315" s="93"/>
      <c r="B315" s="10"/>
      <c r="C315" s="80"/>
      <c r="D315" s="80"/>
      <c r="E315" s="80"/>
      <c r="F315" s="78"/>
      <c r="G315" s="28"/>
      <c r="H315" s="28"/>
      <c r="I315" s="28"/>
      <c r="J315" s="28"/>
      <c r="K315" s="28"/>
      <c r="L315" s="28"/>
      <c r="M315" s="285"/>
      <c r="N315" s="263" t="s">
        <v>162</v>
      </c>
      <c r="O315" s="31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31"/>
      <c r="AD315" s="12"/>
    </row>
    <row r="316" spans="1:30" s="11" customFormat="1" outlineLevel="1" x14ac:dyDescent="0.3">
      <c r="A316" s="93"/>
      <c r="B316" s="10"/>
      <c r="C316" s="80"/>
      <c r="D316" s="80"/>
      <c r="E316" s="80"/>
      <c r="F316" s="78"/>
      <c r="G316" s="28"/>
      <c r="H316" s="28"/>
      <c r="I316" s="28"/>
      <c r="J316" s="28"/>
      <c r="K316" s="28"/>
      <c r="L316" s="28"/>
      <c r="M316" s="285"/>
      <c r="N316" s="263" t="s">
        <v>163</v>
      </c>
      <c r="O316" s="31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31"/>
      <c r="AD316" s="12"/>
    </row>
    <row r="317" spans="1:30" s="11" customFormat="1" outlineLevel="1" x14ac:dyDescent="0.3">
      <c r="A317" s="93"/>
      <c r="B317" s="10"/>
      <c r="C317" s="80"/>
      <c r="D317" s="80"/>
      <c r="E317" s="80"/>
      <c r="F317" s="78"/>
      <c r="G317" s="28"/>
      <c r="H317" s="28"/>
      <c r="I317" s="28"/>
      <c r="J317" s="28"/>
      <c r="K317" s="28"/>
      <c r="L317" s="28"/>
      <c r="M317" s="285"/>
      <c r="N317" s="263" t="s">
        <v>157</v>
      </c>
      <c r="O317" s="31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31"/>
      <c r="AD317" s="12"/>
    </row>
    <row r="318" spans="1:30" s="11" customFormat="1" outlineLevel="1" x14ac:dyDescent="0.3">
      <c r="A318" s="93"/>
      <c r="B318" s="10"/>
      <c r="C318" s="80"/>
      <c r="D318" s="80"/>
      <c r="E318" s="80"/>
      <c r="F318" s="78"/>
      <c r="G318" s="28"/>
      <c r="H318" s="28"/>
      <c r="I318" s="28"/>
      <c r="J318" s="28"/>
      <c r="K318" s="28"/>
      <c r="L318" s="28"/>
      <c r="M318" s="285"/>
      <c r="N318" s="263" t="s">
        <v>164</v>
      </c>
      <c r="O318" s="31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31"/>
      <c r="AD318" s="12"/>
    </row>
    <row r="319" spans="1:30" s="11" customFormat="1" outlineLevel="1" x14ac:dyDescent="0.3">
      <c r="A319" s="93"/>
      <c r="B319" s="10"/>
      <c r="C319" s="80"/>
      <c r="D319" s="80"/>
      <c r="E319" s="80"/>
      <c r="F319" s="78"/>
      <c r="G319" s="28"/>
      <c r="H319" s="28"/>
      <c r="I319" s="28"/>
      <c r="J319" s="28"/>
      <c r="K319" s="28"/>
      <c r="L319" s="28"/>
      <c r="M319" s="285"/>
      <c r="N319" s="263" t="s">
        <v>165</v>
      </c>
      <c r="O319" s="31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31"/>
      <c r="AD319" s="12"/>
    </row>
    <row r="320" spans="1:30" s="11" customFormat="1" outlineLevel="1" x14ac:dyDescent="0.3">
      <c r="A320" s="93"/>
      <c r="B320" s="10"/>
      <c r="C320" s="80"/>
      <c r="D320" s="80"/>
      <c r="E320" s="80"/>
      <c r="F320" s="78"/>
      <c r="G320" s="28"/>
      <c r="H320" s="28"/>
      <c r="I320" s="28"/>
      <c r="J320" s="28"/>
      <c r="K320" s="28"/>
      <c r="L320" s="28"/>
      <c r="M320" s="285"/>
      <c r="N320" s="263" t="s">
        <v>166</v>
      </c>
      <c r="O320" s="31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31"/>
      <c r="AD320" s="12"/>
    </row>
    <row r="321" spans="1:30" s="11" customFormat="1" outlineLevel="1" x14ac:dyDescent="0.3">
      <c r="A321" s="93"/>
      <c r="B321" s="10"/>
      <c r="C321" s="80"/>
      <c r="D321" s="80"/>
      <c r="E321" s="80"/>
      <c r="F321" s="78"/>
      <c r="G321" s="28"/>
      <c r="H321" s="28"/>
      <c r="I321" s="28"/>
      <c r="J321" s="28"/>
      <c r="K321" s="28"/>
      <c r="L321" s="28"/>
      <c r="M321" s="285"/>
      <c r="N321" s="263" t="s">
        <v>167</v>
      </c>
      <c r="O321" s="31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31"/>
      <c r="AD321" s="12"/>
    </row>
    <row r="322" spans="1:30" s="11" customFormat="1" outlineLevel="1" x14ac:dyDescent="0.3">
      <c r="A322" s="93"/>
      <c r="B322" s="10"/>
      <c r="C322" s="80"/>
      <c r="D322" s="80"/>
      <c r="E322" s="80"/>
      <c r="F322" s="78"/>
      <c r="G322" s="28"/>
      <c r="H322" s="28"/>
      <c r="I322" s="28"/>
      <c r="J322" s="28"/>
      <c r="K322" s="28"/>
      <c r="L322" s="28"/>
      <c r="M322" s="285"/>
      <c r="N322" s="263" t="s">
        <v>168</v>
      </c>
      <c r="O322" s="31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31"/>
      <c r="AD322" s="12"/>
    </row>
    <row r="323" spans="1:30" s="11" customFormat="1" outlineLevel="1" x14ac:dyDescent="0.3">
      <c r="A323" s="93"/>
      <c r="B323" s="10"/>
      <c r="C323" s="80"/>
      <c r="D323" s="80"/>
      <c r="E323" s="80"/>
      <c r="F323" s="78"/>
      <c r="G323" s="28"/>
      <c r="H323" s="28"/>
      <c r="I323" s="28"/>
      <c r="J323" s="28"/>
      <c r="K323" s="28"/>
      <c r="L323" s="28"/>
      <c r="M323" s="285"/>
      <c r="N323" s="139"/>
      <c r="O323" s="31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31"/>
      <c r="AD323" s="12"/>
    </row>
    <row r="324" spans="1:30" s="11" customFormat="1" ht="15" customHeight="1" outlineLevel="1" x14ac:dyDescent="0.3">
      <c r="A324" s="93"/>
      <c r="B324" s="10"/>
      <c r="C324" s="80"/>
      <c r="D324" s="80"/>
      <c r="E324" s="80"/>
      <c r="F324" s="78"/>
      <c r="G324" s="28"/>
      <c r="H324" s="28"/>
      <c r="I324" s="28"/>
      <c r="J324" s="28"/>
      <c r="K324" s="28"/>
      <c r="L324" s="28"/>
      <c r="M324" s="285"/>
      <c r="N324" s="165" t="s">
        <v>77</v>
      </c>
      <c r="O324" s="165" t="s">
        <v>144</v>
      </c>
      <c r="P324" s="28"/>
      <c r="Q324" s="186"/>
      <c r="R324" s="186"/>
      <c r="S324" s="28"/>
      <c r="T324" s="28"/>
      <c r="U324" s="28"/>
      <c r="V324" s="28"/>
      <c r="W324" s="28"/>
      <c r="X324" s="28"/>
      <c r="Y324" s="28"/>
      <c r="Z324" s="28"/>
      <c r="AA324" s="28"/>
      <c r="AB324" s="31"/>
      <c r="AC324" s="31"/>
      <c r="AD324" s="12"/>
    </row>
    <row r="325" spans="1:30" s="11" customFormat="1" ht="15" customHeight="1" outlineLevel="1" x14ac:dyDescent="0.3">
      <c r="A325" s="93"/>
      <c r="B325" s="10"/>
      <c r="C325" s="80"/>
      <c r="D325" s="80"/>
      <c r="E325" s="80"/>
      <c r="F325" s="78"/>
      <c r="G325" s="28"/>
      <c r="H325" s="28"/>
      <c r="I325" s="28"/>
      <c r="J325" s="28"/>
      <c r="K325" s="28"/>
      <c r="L325" s="28"/>
      <c r="M325" s="285"/>
      <c r="N325" s="159" t="s">
        <v>65</v>
      </c>
      <c r="O325" s="164">
        <v>0.5</v>
      </c>
      <c r="P325" s="333" t="s">
        <v>140</v>
      </c>
      <c r="Q325" s="333"/>
      <c r="R325" s="333"/>
      <c r="S325" s="28"/>
      <c r="T325" s="28"/>
      <c r="U325" s="28"/>
      <c r="V325" s="28"/>
      <c r="W325" s="28"/>
      <c r="X325" s="28"/>
      <c r="Y325" s="28"/>
      <c r="Z325" s="28"/>
      <c r="AA325" s="28"/>
      <c r="AB325" s="31"/>
      <c r="AC325" s="31"/>
      <c r="AD325" s="12"/>
    </row>
    <row r="326" spans="1:30" s="11" customFormat="1" outlineLevel="1" x14ac:dyDescent="0.3">
      <c r="A326" s="93"/>
      <c r="B326" s="10"/>
      <c r="C326" s="80"/>
      <c r="D326" s="80"/>
      <c r="E326" s="80"/>
      <c r="F326" s="78"/>
      <c r="G326" s="28"/>
      <c r="H326" s="28"/>
      <c r="I326" s="28"/>
      <c r="J326" s="28"/>
      <c r="K326" s="28"/>
      <c r="L326" s="28"/>
      <c r="M326" s="285"/>
      <c r="N326" s="159" t="s">
        <v>66</v>
      </c>
      <c r="O326" s="164">
        <v>0.25</v>
      </c>
      <c r="P326" s="333"/>
      <c r="Q326" s="333"/>
      <c r="R326" s="333"/>
      <c r="S326" s="28"/>
      <c r="T326" s="28"/>
      <c r="U326" s="28"/>
      <c r="V326" s="28"/>
      <c r="W326" s="28"/>
      <c r="X326" s="28"/>
      <c r="Y326" s="28"/>
      <c r="Z326" s="28"/>
      <c r="AA326" s="28"/>
      <c r="AB326" s="31"/>
      <c r="AC326" s="31"/>
      <c r="AD326" s="12"/>
    </row>
    <row r="327" spans="1:30" s="11" customFormat="1" outlineLevel="1" x14ac:dyDescent="0.3">
      <c r="A327" s="93"/>
      <c r="B327" s="10"/>
      <c r="C327" s="80"/>
      <c r="D327" s="80"/>
      <c r="E327" s="80"/>
      <c r="F327" s="78"/>
      <c r="G327" s="28"/>
      <c r="H327" s="28"/>
      <c r="I327" s="28"/>
      <c r="J327" s="28"/>
      <c r="K327" s="28"/>
      <c r="L327" s="28"/>
      <c r="M327" s="285"/>
      <c r="N327" s="31"/>
      <c r="O327" s="31"/>
      <c r="P327" s="333"/>
      <c r="Q327" s="333"/>
      <c r="R327" s="333"/>
      <c r="S327" s="28"/>
      <c r="T327" s="28"/>
      <c r="U327" s="28"/>
      <c r="V327" s="28"/>
      <c r="W327" s="28"/>
      <c r="X327" s="28"/>
      <c r="Y327" s="28"/>
      <c r="Z327" s="28"/>
      <c r="AA327" s="28"/>
      <c r="AB327" s="31"/>
      <c r="AC327" s="31"/>
      <c r="AD327" s="12"/>
    </row>
    <row r="328" spans="1:30" s="11" customFormat="1" outlineLevel="1" x14ac:dyDescent="0.3">
      <c r="A328" s="93"/>
      <c r="B328" s="10"/>
      <c r="C328" s="80"/>
      <c r="D328" s="80"/>
      <c r="E328" s="80"/>
      <c r="F328" s="78"/>
      <c r="G328" s="28"/>
      <c r="H328" s="28"/>
      <c r="I328" s="28"/>
      <c r="J328" s="28"/>
      <c r="K328" s="28"/>
      <c r="L328" s="28"/>
      <c r="M328" s="285"/>
      <c r="N328" s="31"/>
      <c r="O328" s="31"/>
      <c r="P328" s="333"/>
      <c r="Q328" s="333"/>
      <c r="R328" s="333"/>
      <c r="S328" s="28"/>
      <c r="T328" s="28"/>
      <c r="U328" s="28"/>
      <c r="V328" s="28"/>
      <c r="W328" s="28"/>
      <c r="X328" s="28"/>
      <c r="Y328" s="28"/>
      <c r="Z328" s="28"/>
      <c r="AA328" s="28"/>
      <c r="AB328" s="31"/>
      <c r="AC328" s="31"/>
      <c r="AD328" s="12"/>
    </row>
    <row r="329" spans="1:30" s="11" customFormat="1" outlineLevel="1" x14ac:dyDescent="0.3">
      <c r="A329" s="93"/>
      <c r="B329" s="10"/>
      <c r="C329" s="80"/>
      <c r="D329" s="80"/>
      <c r="E329" s="80"/>
      <c r="F329" s="78"/>
      <c r="G329" s="28"/>
      <c r="H329" s="28"/>
      <c r="I329" s="28"/>
      <c r="J329" s="28"/>
      <c r="K329" s="28"/>
      <c r="L329" s="28"/>
      <c r="M329" s="285"/>
      <c r="N329" s="161" t="s">
        <v>133</v>
      </c>
      <c r="O329" s="165" t="s">
        <v>144</v>
      </c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31"/>
      <c r="AC329" s="31"/>
      <c r="AD329" s="12"/>
    </row>
    <row r="330" spans="1:30" s="11" customFormat="1" outlineLevel="1" x14ac:dyDescent="0.3">
      <c r="A330" s="93"/>
      <c r="B330" s="10"/>
      <c r="C330" s="80"/>
      <c r="D330" s="80"/>
      <c r="E330" s="80"/>
      <c r="F330" s="78"/>
      <c r="G330" s="28"/>
      <c r="H330" s="28"/>
      <c r="I330" s="28"/>
      <c r="J330" s="28"/>
      <c r="K330" s="28"/>
      <c r="L330" s="28"/>
      <c r="M330" s="285"/>
      <c r="N330" s="271" t="s">
        <v>23</v>
      </c>
      <c r="O330" s="272">
        <v>0</v>
      </c>
      <c r="P330" s="333" t="s">
        <v>141</v>
      </c>
      <c r="Q330" s="333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31"/>
      <c r="AC330" s="31"/>
      <c r="AD330" s="12"/>
    </row>
    <row r="331" spans="1:30" s="11" customFormat="1" ht="15" customHeight="1" outlineLevel="1" x14ac:dyDescent="0.3">
      <c r="A331" s="93"/>
      <c r="B331" s="10"/>
      <c r="C331" s="80"/>
      <c r="D331" s="80"/>
      <c r="E331" s="80"/>
      <c r="F331" s="78"/>
      <c r="G331" s="28"/>
      <c r="H331" s="28"/>
      <c r="I331" s="28"/>
      <c r="J331" s="28"/>
      <c r="K331" s="28"/>
      <c r="L331" s="28"/>
      <c r="M331" s="285"/>
      <c r="N331" s="271" t="s">
        <v>134</v>
      </c>
      <c r="O331" s="272">
        <v>0.25</v>
      </c>
      <c r="P331" s="333"/>
      <c r="Q331" s="333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31"/>
      <c r="AC331" s="31"/>
      <c r="AD331" s="12"/>
    </row>
    <row r="332" spans="1:30" s="11" customFormat="1" outlineLevel="1" x14ac:dyDescent="0.3">
      <c r="A332" s="93"/>
      <c r="B332" s="10"/>
      <c r="C332" s="80"/>
      <c r="D332" s="80"/>
      <c r="E332" s="80"/>
      <c r="F332" s="78"/>
      <c r="G332" s="28"/>
      <c r="H332" s="28"/>
      <c r="I332" s="28"/>
      <c r="J332" s="28"/>
      <c r="K332" s="28"/>
      <c r="L332" s="28"/>
      <c r="M332" s="285"/>
      <c r="N332" s="271" t="s">
        <v>135</v>
      </c>
      <c r="O332" s="273">
        <v>0.1</v>
      </c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31"/>
      <c r="AC332" s="31"/>
      <c r="AD332" s="12"/>
    </row>
    <row r="333" spans="1:30" s="11" customFormat="1" outlineLevel="1" x14ac:dyDescent="0.3">
      <c r="A333" s="93"/>
      <c r="B333" s="10"/>
      <c r="C333" s="80"/>
      <c r="D333" s="80"/>
      <c r="E333" s="80"/>
      <c r="F333" s="78"/>
      <c r="G333" s="28"/>
      <c r="H333" s="28"/>
      <c r="I333" s="28"/>
      <c r="J333" s="28"/>
      <c r="K333" s="28"/>
      <c r="L333" s="28"/>
      <c r="M333" s="285"/>
      <c r="N333" s="271" t="s">
        <v>136</v>
      </c>
      <c r="O333" s="273">
        <v>0</v>
      </c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31"/>
      <c r="AC333" s="31"/>
      <c r="AD333" s="12"/>
    </row>
    <row r="334" spans="1:30" s="11" customFormat="1" outlineLevel="1" x14ac:dyDescent="0.3">
      <c r="A334" s="93"/>
      <c r="B334" s="10"/>
      <c r="C334" s="80"/>
      <c r="D334" s="80"/>
      <c r="E334" s="80"/>
      <c r="F334" s="78"/>
      <c r="G334" s="28"/>
      <c r="H334" s="28"/>
      <c r="I334" s="28"/>
      <c r="J334" s="28"/>
      <c r="K334" s="28"/>
      <c r="L334" s="28"/>
      <c r="M334" s="285"/>
      <c r="N334" s="271" t="s">
        <v>137</v>
      </c>
      <c r="O334" s="273">
        <v>0</v>
      </c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31"/>
      <c r="AC334" s="31"/>
      <c r="AD334" s="12"/>
    </row>
    <row r="335" spans="1:30" s="11" customFormat="1" outlineLevel="1" x14ac:dyDescent="0.3">
      <c r="A335" s="93"/>
      <c r="B335" s="10"/>
      <c r="C335" s="80"/>
      <c r="D335" s="80"/>
      <c r="E335" s="80"/>
      <c r="F335" s="78"/>
      <c r="G335" s="28"/>
      <c r="H335" s="28"/>
      <c r="I335" s="28"/>
      <c r="J335" s="28"/>
      <c r="K335" s="28"/>
      <c r="L335" s="28"/>
      <c r="M335" s="285"/>
      <c r="N335" s="271" t="s">
        <v>138</v>
      </c>
      <c r="O335" s="273">
        <v>0</v>
      </c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31"/>
      <c r="AC335" s="31"/>
      <c r="AD335" s="12"/>
    </row>
    <row r="336" spans="1:30" s="11" customFormat="1" outlineLevel="1" x14ac:dyDescent="0.3">
      <c r="A336" s="93"/>
      <c r="B336" s="10"/>
      <c r="C336" s="80"/>
      <c r="D336" s="80"/>
      <c r="E336" s="80"/>
      <c r="F336" s="78"/>
      <c r="G336" s="28"/>
      <c r="H336" s="28"/>
      <c r="I336" s="28"/>
      <c r="J336" s="28"/>
      <c r="K336" s="28"/>
      <c r="L336" s="28"/>
      <c r="M336" s="285"/>
      <c r="N336" s="31"/>
      <c r="O336" s="31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31"/>
      <c r="AC336" s="31"/>
      <c r="AD336" s="12"/>
    </row>
    <row r="337" spans="1:30" s="11" customFormat="1" outlineLevel="1" x14ac:dyDescent="0.3">
      <c r="A337" s="93"/>
      <c r="B337" s="10"/>
      <c r="C337" s="80"/>
      <c r="D337" s="80"/>
      <c r="E337" s="80"/>
      <c r="F337" s="78"/>
      <c r="G337" s="28"/>
      <c r="H337" s="28"/>
      <c r="I337" s="28"/>
      <c r="J337" s="28"/>
      <c r="K337" s="28"/>
      <c r="L337" s="28"/>
      <c r="M337" s="285"/>
      <c r="N337" s="161" t="s">
        <v>142</v>
      </c>
      <c r="O337" s="165" t="s">
        <v>144</v>
      </c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31"/>
      <c r="AC337" s="31"/>
      <c r="AD337" s="12"/>
    </row>
    <row r="338" spans="1:30" s="11" customFormat="1" ht="15" customHeight="1" outlineLevel="1" x14ac:dyDescent="0.3">
      <c r="A338" s="93"/>
      <c r="B338" s="10"/>
      <c r="C338" s="80"/>
      <c r="D338" s="80"/>
      <c r="E338" s="80"/>
      <c r="F338" s="78"/>
      <c r="G338" s="28"/>
      <c r="H338" s="28"/>
      <c r="I338" s="28"/>
      <c r="J338" s="28"/>
      <c r="K338" s="28"/>
      <c r="L338" s="28"/>
      <c r="M338" s="285"/>
      <c r="N338" s="158" t="str">
        <f>Lists!B46</f>
        <v>Low</v>
      </c>
      <c r="O338" s="164">
        <v>0.1</v>
      </c>
      <c r="P338" s="333" t="s">
        <v>143</v>
      </c>
      <c r="Q338" s="333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31"/>
      <c r="AC338" s="31"/>
      <c r="AD338" s="12"/>
    </row>
    <row r="339" spans="1:30" s="11" customFormat="1" outlineLevel="1" x14ac:dyDescent="0.3">
      <c r="A339" s="93"/>
      <c r="B339" s="10"/>
      <c r="C339" s="80"/>
      <c r="D339" s="80"/>
      <c r="E339" s="80"/>
      <c r="F339" s="78"/>
      <c r="G339" s="28"/>
      <c r="H339" s="28"/>
      <c r="I339" s="28"/>
      <c r="J339" s="28"/>
      <c r="K339" s="28"/>
      <c r="L339" s="28"/>
      <c r="M339" s="285"/>
      <c r="N339" s="158" t="str">
        <f>Lists!B47</f>
        <v>Medium</v>
      </c>
      <c r="O339" s="164">
        <v>0.15</v>
      </c>
      <c r="P339" s="333"/>
      <c r="Q339" s="333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31"/>
      <c r="AC339" s="31"/>
      <c r="AD339" s="12"/>
    </row>
    <row r="340" spans="1:30" s="11" customFormat="1" outlineLevel="1" x14ac:dyDescent="0.3">
      <c r="A340" s="93"/>
      <c r="B340" s="10"/>
      <c r="C340" s="80"/>
      <c r="D340" s="80"/>
      <c r="E340" s="80"/>
      <c r="F340" s="78"/>
      <c r="G340" s="28"/>
      <c r="H340" s="28"/>
      <c r="I340" s="28"/>
      <c r="J340" s="28"/>
      <c r="K340" s="28"/>
      <c r="L340" s="28"/>
      <c r="M340" s="285"/>
      <c r="N340" s="158" t="str">
        <f>Lists!B48</f>
        <v>High</v>
      </c>
      <c r="O340" s="164">
        <v>0.2</v>
      </c>
      <c r="P340" s="333"/>
      <c r="Q340" s="333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31"/>
      <c r="AC340" s="31"/>
      <c r="AD340" s="12"/>
    </row>
    <row r="341" spans="1:30" s="11" customFormat="1" outlineLevel="1" x14ac:dyDescent="0.3">
      <c r="A341" s="93"/>
      <c r="B341" s="10"/>
      <c r="C341" s="80"/>
      <c r="D341" s="80"/>
      <c r="E341" s="80"/>
      <c r="F341" s="78"/>
      <c r="G341" s="28"/>
      <c r="H341" s="28"/>
      <c r="I341" s="28"/>
      <c r="J341" s="28"/>
      <c r="K341" s="28"/>
      <c r="L341" s="28"/>
      <c r="M341" s="285"/>
      <c r="N341" s="31"/>
      <c r="O341" s="31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31"/>
      <c r="AC341" s="31"/>
      <c r="AD341" s="12"/>
    </row>
    <row r="342" spans="1:30" s="11" customFormat="1" ht="20.25" customHeight="1" outlineLevel="1" x14ac:dyDescent="0.3">
      <c r="A342" s="93"/>
      <c r="B342" s="10"/>
      <c r="C342" s="78"/>
      <c r="D342" s="78"/>
      <c r="E342" s="78"/>
      <c r="F342" s="78"/>
      <c r="G342" s="43"/>
      <c r="H342" s="43"/>
      <c r="I342" s="43"/>
      <c r="J342" s="43"/>
      <c r="K342" s="43"/>
      <c r="L342" s="43"/>
      <c r="M342" s="281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12"/>
    </row>
    <row r="343" spans="1:30" x14ac:dyDescent="0.3">
      <c r="F343" s="78"/>
    </row>
    <row r="407" spans="1:30" s="11" customFormat="1" ht="20.25" customHeight="1" x14ac:dyDescent="0.3">
      <c r="A407" s="93"/>
      <c r="B407" s="10"/>
      <c r="C407" s="78"/>
      <c r="D407" s="78"/>
      <c r="E407" s="78"/>
      <c r="F407" s="78"/>
      <c r="G407" s="324" t="s">
        <v>48</v>
      </c>
      <c r="H407" s="324"/>
      <c r="I407" s="178"/>
      <c r="J407" s="43"/>
      <c r="K407" s="43"/>
      <c r="L407" s="39"/>
      <c r="M407" s="289" t="s">
        <v>125</v>
      </c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12"/>
    </row>
    <row r="408" spans="1:30" hidden="1" x14ac:dyDescent="0.3"/>
    <row r="409" spans="1:30" s="17" customFormat="1" ht="18" hidden="1" collapsed="1" x14ac:dyDescent="0.3">
      <c r="A409" s="93" t="s">
        <v>98</v>
      </c>
      <c r="B409" s="21"/>
      <c r="C409" s="81"/>
      <c r="D409" s="81"/>
      <c r="E409" s="81"/>
      <c r="F409" s="82"/>
      <c r="G409" s="55"/>
      <c r="H409" s="55"/>
      <c r="I409" s="55"/>
      <c r="J409" s="55"/>
      <c r="K409" s="55"/>
      <c r="L409" s="55" t="s">
        <v>105</v>
      </c>
      <c r="M409" s="284" t="s">
        <v>106</v>
      </c>
      <c r="N409" s="56"/>
      <c r="O409" s="57"/>
      <c r="P409" s="58"/>
      <c r="Q409" s="58"/>
      <c r="R409" s="58"/>
      <c r="S409" s="302">
        <f>CEILING(SUMIFS(T410:T415, J410:J415, "&lt;&gt;Yes", A410:A415,"T1"),1)</f>
        <v>0</v>
      </c>
      <c r="T409" s="302"/>
      <c r="U409" s="58"/>
      <c r="V409" s="58"/>
      <c r="W409" s="58"/>
      <c r="X409" s="58"/>
      <c r="Y409" s="58"/>
      <c r="Z409" s="58"/>
      <c r="AA409" s="58"/>
      <c r="AB409" s="58"/>
      <c r="AC409" s="58"/>
      <c r="AD409" s="26" t="str">
        <f>IF(M409="", "Section name cannot be empty.", "")</f>
        <v/>
      </c>
    </row>
    <row r="410" spans="1:30" s="11" customFormat="1" ht="1.5" hidden="1" customHeight="1" outlineLevel="1" x14ac:dyDescent="0.3">
      <c r="A410" s="93" t="s">
        <v>99</v>
      </c>
      <c r="B410" s="18"/>
      <c r="C410" s="78"/>
      <c r="D410" s="78"/>
      <c r="E410" s="78"/>
      <c r="F410" s="78"/>
      <c r="G410" s="28"/>
      <c r="H410" s="28"/>
      <c r="I410" s="28"/>
      <c r="J410" s="28"/>
      <c r="K410" s="28"/>
      <c r="L410" s="29">
        <v>0</v>
      </c>
      <c r="M410" s="285"/>
      <c r="N410" s="28"/>
      <c r="O410" s="28"/>
      <c r="P410" s="28"/>
      <c r="Q410" s="28"/>
      <c r="R410" s="28"/>
      <c r="S410" s="28"/>
      <c r="T410" s="30"/>
      <c r="U410" s="28"/>
      <c r="V410" s="28"/>
      <c r="W410" s="28"/>
      <c r="X410" s="30"/>
      <c r="Y410" s="28"/>
      <c r="Z410" s="28"/>
      <c r="AA410" s="28"/>
      <c r="AB410" s="31"/>
      <c r="AC410" s="31"/>
      <c r="AD410" s="12"/>
    </row>
    <row r="411" spans="1:30" s="17" customFormat="1" ht="15.6" hidden="1" outlineLevel="1" x14ac:dyDescent="0.3">
      <c r="A411" s="93" t="s">
        <v>100</v>
      </c>
      <c r="B411" s="21"/>
      <c r="C411" s="84"/>
      <c r="D411" s="84"/>
      <c r="E411" s="84"/>
      <c r="F411" s="83"/>
      <c r="G411" s="32"/>
      <c r="H411" s="32"/>
      <c r="I411" s="32"/>
      <c r="J411" s="32"/>
      <c r="K411" s="32"/>
      <c r="L411" s="20">
        <f ca="1">LOOKUP(1000,INDIRECT("L1:"&amp;CELL("address",INDIRECT("R[-1]C",FALSE))))+1</f>
        <v>1</v>
      </c>
      <c r="M411" s="301" t="s">
        <v>108</v>
      </c>
      <c r="N411" s="301"/>
      <c r="O411" s="5"/>
      <c r="P411" s="33"/>
      <c r="Q411" s="33"/>
      <c r="R411" s="33"/>
      <c r="S411" s="33"/>
      <c r="T411" s="167">
        <f>IF($S$6="Exclude", SUMIFS(S412:S414, J412:J414, "&lt;&gt;Yes", G412:G414, "&lt;&gt;Yes"), SUMIFS(S412:S414, J412:J414, "&lt;&gt;Yes"))</f>
        <v>0</v>
      </c>
      <c r="U411" s="33"/>
      <c r="V411" s="33"/>
      <c r="W411" s="33"/>
      <c r="X411" s="34"/>
      <c r="Y411" s="35"/>
      <c r="Z411" s="35"/>
      <c r="AA411" s="35"/>
      <c r="AB411" s="240" t="s">
        <v>443</v>
      </c>
      <c r="AC411" s="36"/>
      <c r="AD411" s="26" t="str">
        <f>IF(M411="", "Error: Task name cannot be empty.", "")</f>
        <v/>
      </c>
    </row>
    <row r="412" spans="1:30" s="15" customFormat="1" ht="1.5" hidden="1" customHeight="1" outlineLevel="2" x14ac:dyDescent="0.3">
      <c r="A412" s="93" t="s">
        <v>101</v>
      </c>
      <c r="B412" s="21"/>
      <c r="C412" s="84"/>
      <c r="D412" s="84"/>
      <c r="E412" s="84"/>
      <c r="F412" s="83"/>
      <c r="G412" s="32"/>
      <c r="H412" s="32"/>
      <c r="I412" s="32"/>
      <c r="J412" s="32"/>
      <c r="K412" s="32"/>
      <c r="L412" s="175">
        <f ca="1">L411</f>
        <v>1</v>
      </c>
      <c r="M412" s="176" t="s">
        <v>105</v>
      </c>
      <c r="N412" s="173"/>
      <c r="O412" s="174"/>
      <c r="P412" s="33"/>
      <c r="Q412" s="33"/>
      <c r="R412" s="33"/>
      <c r="S412" s="33"/>
      <c r="T412" s="167"/>
      <c r="U412" s="33"/>
      <c r="V412" s="33"/>
      <c r="W412" s="33"/>
      <c r="X412" s="34"/>
      <c r="Y412" s="35"/>
      <c r="Z412" s="35"/>
      <c r="AA412" s="35"/>
      <c r="AB412" s="36"/>
      <c r="AC412" s="36"/>
      <c r="AD412" s="26"/>
    </row>
    <row r="413" spans="1:30" ht="57.6" hidden="1" outlineLevel="2" x14ac:dyDescent="0.3">
      <c r="A413" s="93" t="s">
        <v>0</v>
      </c>
      <c r="B413" s="21"/>
      <c r="C413" s="85"/>
      <c r="D413" s="85"/>
      <c r="E413" s="85"/>
      <c r="F413" s="86"/>
      <c r="G413" s="22" t="s">
        <v>23</v>
      </c>
      <c r="H413" s="22" t="s">
        <v>23</v>
      </c>
      <c r="I413" s="23" t="s">
        <v>23</v>
      </c>
      <c r="J413" s="22" t="s">
        <v>23</v>
      </c>
      <c r="K413" s="38"/>
      <c r="L413" s="22"/>
      <c r="M413" s="286" t="str">
        <f ca="1">IFERROR(OFFSET(M413,-1,,1,1)+0.1,OFFSET(M413,-1,-1,1,1)&amp;".1")</f>
        <v>1.1</v>
      </c>
      <c r="N413" s="23" t="s">
        <v>442</v>
      </c>
      <c r="O413" s="23"/>
      <c r="P413" s="23"/>
      <c r="Q413" s="144"/>
      <c r="R413" s="137"/>
      <c r="S413" s="169">
        <f>CEILING((IF(J413="Yes", 0, IF(H413="-",AA413,AA413+AA413*VLOOKUP(H413,BUFFERS_BY_TYPE,2,FALSE)))) +
   (IF(J413="Yes", 0, IF(H413="-",AA413,AA413+AA413*VLOOKUP(H413,BUFFERS_BY_TYPE,2,FALSE))))*VLOOKUP($S$5, SALES_CALL_SCALE_ARRAY, 2,FALSE),0.25)</f>
        <v>0</v>
      </c>
      <c r="T413" s="170"/>
      <c r="U413" s="24">
        <v>0</v>
      </c>
      <c r="V413" s="24">
        <v>1</v>
      </c>
      <c r="W413" s="24">
        <v>0</v>
      </c>
      <c r="X413" s="168"/>
      <c r="Y413" s="169">
        <f>CEILING((IF(P413=AS_DEV_EFFORT, DEV_EFFORT*Q413%,
                           IF(P413=AS_DURATION_EFFORT, (MANUAL_DURATION*5)*Q413%,
                                    (IF(Q413&lt;=1,X413,
                                          IF(SUM(U413:W413)=0,(Q413*X413),
                                               (((Q413*U413)*(X413+(X413*EXTRA_FOR_H)))+
                                               ((Q413*V413)*X413)+
                                               ((Q413*W413)*(X413-(X413*LESS_FOR_L)))
                                    )*IF(R413=0,1,R413))))))+Z413), 0.25)</f>
        <v>0</v>
      </c>
      <c r="Z413" s="25"/>
      <c r="AA413" s="169">
        <f>Y413+Y413*VLOOKUP(I413,EXTRAS_ARRAY,2,FALSE)</f>
        <v>0</v>
      </c>
      <c r="AB413" s="23" t="s">
        <v>445</v>
      </c>
      <c r="AC413" s="37"/>
      <c r="AD413" s="26" t="str">
        <f>IF(J413&lt;&gt;"Yes",
IF(S413&lt;=0,"Error: Effort value is not defined or is invalid.",
IF(AND(SUM(U413:W413)&gt;0,SUM(U413:W413)&lt;&gt;1),"Error: Complexity % distribution should sum to 100%.",
IF(AND(P413=AS_DEV_EFFORT,X413&lt;&gt;0),"Error: PDs should not be defined when defining as dev effort %.",
IF(AND(P413=AS_DURATION_EFFORT,X413&lt;&gt;0),"Error: PDs should not be defined when defining as duration effort %.","")))))</f>
        <v>Error: Effort value is not defined or is invalid.</v>
      </c>
    </row>
    <row r="414" spans="1:30" s="11" customFormat="1" ht="7.5" hidden="1" customHeight="1" outlineLevel="2" x14ac:dyDescent="0.3">
      <c r="A414" s="93" t="s">
        <v>132</v>
      </c>
      <c r="B414" s="18"/>
      <c r="C414" s="78"/>
      <c r="D414" s="78"/>
      <c r="E414" s="78"/>
      <c r="F414" s="78"/>
      <c r="G414" s="10"/>
      <c r="H414" s="10"/>
      <c r="I414" s="10"/>
      <c r="J414" s="10"/>
      <c r="K414" s="10"/>
      <c r="L414" s="10"/>
      <c r="M414" s="287"/>
      <c r="N414" s="10"/>
      <c r="O414" s="10"/>
      <c r="P414" s="10"/>
      <c r="Q414" s="10"/>
      <c r="R414" s="10"/>
      <c r="S414" s="10"/>
      <c r="T414" s="18"/>
      <c r="U414" s="10"/>
      <c r="V414" s="10"/>
      <c r="W414" s="10"/>
      <c r="X414" s="18"/>
      <c r="Y414" s="10"/>
      <c r="Z414" s="10"/>
      <c r="AA414" s="10"/>
      <c r="AB414" s="60"/>
      <c r="AC414" s="60"/>
      <c r="AD414" s="12"/>
    </row>
    <row r="415" spans="1:30" s="11" customFormat="1" ht="1.5" hidden="1" customHeight="1" outlineLevel="1" x14ac:dyDescent="0.3">
      <c r="A415" s="93" t="s">
        <v>102</v>
      </c>
      <c r="B415" s="10"/>
      <c r="C415" s="78"/>
      <c r="D415" s="78"/>
      <c r="E415" s="78"/>
      <c r="F415" s="78"/>
      <c r="G415" s="59"/>
      <c r="H415" s="59"/>
      <c r="I415" s="59"/>
      <c r="J415" s="59"/>
      <c r="K415" s="59"/>
      <c r="L415" s="61"/>
      <c r="M415" s="288"/>
      <c r="N415" s="62"/>
      <c r="O415" s="62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2"/>
      <c r="AC415" s="62"/>
      <c r="AD415" s="12"/>
    </row>
    <row r="416" spans="1:30" hidden="1" collapsed="1" x14ac:dyDescent="0.3"/>
    <row r="417" spans="1:30" s="17" customFormat="1" ht="15.6" hidden="1" outlineLevel="1" x14ac:dyDescent="0.3">
      <c r="A417" s="93" t="s">
        <v>107</v>
      </c>
      <c r="B417" s="21"/>
      <c r="C417" s="84"/>
      <c r="D417" s="84"/>
      <c r="E417" s="84"/>
      <c r="F417" s="83"/>
      <c r="G417" s="185"/>
      <c r="H417" s="185"/>
      <c r="I417" s="185"/>
      <c r="J417" s="185"/>
      <c r="K417" s="185"/>
      <c r="L417" s="92" t="s">
        <v>109</v>
      </c>
      <c r="M417" s="299" t="s">
        <v>124</v>
      </c>
      <c r="N417" s="299"/>
      <c r="O417" s="87"/>
      <c r="P417" s="88"/>
      <c r="Q417" s="88"/>
      <c r="R417" s="88"/>
      <c r="S417" s="300">
        <f>SUMGROUP(ROW(), "T")</f>
        <v>0</v>
      </c>
      <c r="T417" s="300"/>
      <c r="U417" s="298"/>
      <c r="V417" s="298"/>
      <c r="W417" s="298"/>
      <c r="X417" s="89"/>
      <c r="Y417" s="90"/>
      <c r="Z417" s="90"/>
      <c r="AA417" s="90"/>
      <c r="AB417" s="243"/>
      <c r="AC417" s="91"/>
      <c r="AD417" s="26" t="str">
        <f>IF(M417="", "Error: Module name cannot be empty.", "")</f>
        <v/>
      </c>
    </row>
    <row r="418" spans="1:30" hidden="1" x14ac:dyDescent="0.3"/>
    <row r="419" spans="1:30" s="11" customFormat="1" ht="20.25" customHeight="1" x14ac:dyDescent="0.3">
      <c r="A419" s="93"/>
      <c r="B419" s="10"/>
      <c r="C419" s="78"/>
      <c r="D419" s="78"/>
      <c r="E419" s="78"/>
      <c r="F419" s="78"/>
      <c r="G419" s="43"/>
      <c r="H419" s="43"/>
      <c r="I419" s="43"/>
      <c r="J419" s="43"/>
      <c r="K419" s="43"/>
      <c r="L419" s="43"/>
      <c r="M419" s="281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12"/>
    </row>
  </sheetData>
  <sheetProtection algorithmName="SHA-512" hashValue="MdV8NEifoYcOGzQLXTCQGZOcK2GtI55d+qK3Gioe3nMX6r5Ins6PApEzkjqPKI9yN8rKAgyAk0f9qVjqZA+Vyw==" saltValue="tV5WKGsqCnymzEszx25nPw==" spinCount="100000" sheet="1" objects="1" scenarios="1"/>
  <dataConsolidate/>
  <mergeCells count="105">
    <mergeCell ref="M146:N146"/>
    <mergeCell ref="S146:T146"/>
    <mergeCell ref="U146:W146"/>
    <mergeCell ref="M135:N135"/>
    <mergeCell ref="M151:N151"/>
    <mergeCell ref="M235:N235"/>
    <mergeCell ref="S409:T409"/>
    <mergeCell ref="S417:T417"/>
    <mergeCell ref="S233:T233"/>
    <mergeCell ref="S240:T240"/>
    <mergeCell ref="T281:U281"/>
    <mergeCell ref="T280:U280"/>
    <mergeCell ref="S12:T12"/>
    <mergeCell ref="S96:T96"/>
    <mergeCell ref="S172:T172"/>
    <mergeCell ref="S210:T210"/>
    <mergeCell ref="S112:T112"/>
    <mergeCell ref="S134:T134"/>
    <mergeCell ref="AB5:AB6"/>
    <mergeCell ref="P10:R10"/>
    <mergeCell ref="G259:H259"/>
    <mergeCell ref="U417:W417"/>
    <mergeCell ref="Q272:V272"/>
    <mergeCell ref="P262:P263"/>
    <mergeCell ref="G287:H287"/>
    <mergeCell ref="G407:H407"/>
    <mergeCell ref="Q261:V261"/>
    <mergeCell ref="O262:O263"/>
    <mergeCell ref="N299:N301"/>
    <mergeCell ref="P325:R328"/>
    <mergeCell ref="P330:Q331"/>
    <mergeCell ref="P338:Q340"/>
    <mergeCell ref="M417:N417"/>
    <mergeCell ref="M411:N411"/>
    <mergeCell ref="C2:F9"/>
    <mergeCell ref="C10:F10"/>
    <mergeCell ref="G9:J9"/>
    <mergeCell ref="G242:H242"/>
    <mergeCell ref="C11:F11"/>
    <mergeCell ref="C12:E12"/>
    <mergeCell ref="G3:J3"/>
    <mergeCell ref="J5:K5"/>
    <mergeCell ref="Y274:AA278"/>
    <mergeCell ref="U10:W10"/>
    <mergeCell ref="M244:T245"/>
    <mergeCell ref="W262:X263"/>
    <mergeCell ref="W264:X264"/>
    <mergeCell ref="W265:X265"/>
    <mergeCell ref="W266:X266"/>
    <mergeCell ref="W267:X267"/>
    <mergeCell ref="W268:X268"/>
    <mergeCell ref="W269:X269"/>
    <mergeCell ref="W270:X270"/>
    <mergeCell ref="Q270:V270"/>
    <mergeCell ref="M14:N14"/>
    <mergeCell ref="M67:N67"/>
    <mergeCell ref="W272:X273"/>
    <mergeCell ref="S11:T11"/>
    <mergeCell ref="M20:N20"/>
    <mergeCell ref="M72:N72"/>
    <mergeCell ref="M78:N78"/>
    <mergeCell ref="M85:N85"/>
    <mergeCell ref="S65:T65"/>
    <mergeCell ref="M26:N26"/>
    <mergeCell ref="M33:N33"/>
    <mergeCell ref="M41:N41"/>
    <mergeCell ref="M47:N47"/>
    <mergeCell ref="M56:N56"/>
    <mergeCell ref="M188:N188"/>
    <mergeCell ref="M155:N155"/>
    <mergeCell ref="S155:T155"/>
    <mergeCell ref="M156:N156"/>
    <mergeCell ref="M181:N181"/>
    <mergeCell ref="M166:N166"/>
    <mergeCell ref="M165:N165"/>
    <mergeCell ref="S165:T165"/>
    <mergeCell ref="M175:N175"/>
    <mergeCell ref="M174:N174"/>
    <mergeCell ref="S174:T174"/>
    <mergeCell ref="M161:N161"/>
    <mergeCell ref="M217:N217"/>
    <mergeCell ref="M221:N221"/>
    <mergeCell ref="M225:N225"/>
    <mergeCell ref="M193:N193"/>
    <mergeCell ref="M200:N200"/>
    <mergeCell ref="M212:N212"/>
    <mergeCell ref="U155:W155"/>
    <mergeCell ref="U112:W112"/>
    <mergeCell ref="M98:N98"/>
    <mergeCell ref="M134:N134"/>
    <mergeCell ref="M105:N105"/>
    <mergeCell ref="M112:N112"/>
    <mergeCell ref="M118:N118"/>
    <mergeCell ref="M113:N113"/>
    <mergeCell ref="M122:N122"/>
    <mergeCell ref="M130:N130"/>
    <mergeCell ref="M126:N126"/>
    <mergeCell ref="U134:W134"/>
    <mergeCell ref="M141:N141"/>
    <mergeCell ref="M147:N147"/>
    <mergeCell ref="U174:W174"/>
    <mergeCell ref="M180:N180"/>
    <mergeCell ref="S180:T180"/>
    <mergeCell ref="U180:W180"/>
    <mergeCell ref="U165:W165"/>
  </mergeCells>
  <conditionalFormatting sqref="B264">
    <cfRule type="cellIs" dxfId="1224" priority="10314" operator="equal">
      <formula>"."</formula>
    </cfRule>
  </conditionalFormatting>
  <conditionalFormatting sqref="C261:E261 C280:E283">
    <cfRule type="expression" dxfId="1223" priority="10194">
      <formula>$H261&lt;&gt;""</formula>
    </cfRule>
  </conditionalFormatting>
  <conditionalFormatting sqref="C262:E270">
    <cfRule type="expression" dxfId="1222" priority="10192">
      <formula>$H262&lt;&gt;""</formula>
    </cfRule>
  </conditionalFormatting>
  <conditionalFormatting sqref="B262">
    <cfRule type="cellIs" dxfId="1221" priority="10188" operator="equal">
      <formula>"."</formula>
    </cfRule>
  </conditionalFormatting>
  <conditionalFormatting sqref="B413">
    <cfRule type="expression" dxfId="1220" priority="10083">
      <formula>AD413&lt;&gt;""</formula>
    </cfRule>
  </conditionalFormatting>
  <conditionalFormatting sqref="Z413">
    <cfRule type="cellIs" dxfId="1219" priority="10081" operator="greaterThan">
      <formula>0</formula>
    </cfRule>
    <cfRule type="cellIs" dxfId="1218" priority="10082" operator="lessThan">
      <formula>0</formula>
    </cfRule>
  </conditionalFormatting>
  <conditionalFormatting sqref="S413">
    <cfRule type="cellIs" dxfId="1217" priority="10080" operator="lessThan">
      <formula>0</formula>
    </cfRule>
  </conditionalFormatting>
  <conditionalFormatting sqref="T411:T412">
    <cfRule type="expression" dxfId="1216" priority="10084">
      <formula>#REF!="Yes"</formula>
    </cfRule>
  </conditionalFormatting>
  <conditionalFormatting sqref="P413">
    <cfRule type="cellIs" dxfId="1215" priority="10077" operator="equal">
      <formula>AS_DURATION_EFFORT</formula>
    </cfRule>
    <cfRule type="cellIs" dxfId="1214" priority="10078" operator="equal">
      <formula>AS_DEV_EFFORT</formula>
    </cfRule>
  </conditionalFormatting>
  <conditionalFormatting sqref="S417">
    <cfRule type="expression" dxfId="1213" priority="9893">
      <formula>#REF!="Yes"</formula>
    </cfRule>
  </conditionalFormatting>
  <conditionalFormatting sqref="B409">
    <cfRule type="expression" dxfId="1212" priority="9885">
      <formula>AD409&lt;&gt;""</formula>
    </cfRule>
  </conditionalFormatting>
  <conditionalFormatting sqref="B411:B412">
    <cfRule type="expression" dxfId="1211" priority="9884">
      <formula>AD411&lt;&gt;""</formula>
    </cfRule>
  </conditionalFormatting>
  <conditionalFormatting sqref="B417">
    <cfRule type="expression" dxfId="1210" priority="9883">
      <formula>AD417&lt;&gt;""</formula>
    </cfRule>
  </conditionalFormatting>
  <conditionalFormatting sqref="L16:AC17 L28:M28 L35:M35 L43:M43 L49:M49 L58:M58 O28:P28 O35:P35 P43:AC43 L74:AC74 L80:AC83 O49:AC49 P58:AC58 L23:AC24 R28:AC28 S35:AC35 L69:AC70 L87:AC93 L100:AC103 L107:M110 O107:AC110 L158:AC159 L163:AC163 L168:AC169 L227:AC230 L237:AC237 L214:AC215 L219:AC219 L223:AC223 L413:AC413 L183:AC186 L177:AC178 L190:AC191 L195:AC198 L202:AC207">
    <cfRule type="expression" dxfId="1209" priority="12172">
      <formula>AND($G16="Yes", $S$6="Exclude")</formula>
    </cfRule>
    <cfRule type="expression" dxfId="1208" priority="12173">
      <formula>$J16="Yes"</formula>
    </cfRule>
  </conditionalFormatting>
  <conditionalFormatting sqref="T5">
    <cfRule type="expression" dxfId="1207" priority="9466">
      <formula>OR($S$5="Reduce by:", $S$5="Increase by:")</formula>
    </cfRule>
  </conditionalFormatting>
  <conditionalFormatting sqref="F413">
    <cfRule type="expression" dxfId="1206" priority="6716">
      <formula>$K413&lt;&gt;""</formula>
    </cfRule>
  </conditionalFormatting>
  <conditionalFormatting sqref="C413">
    <cfRule type="expression" dxfId="1205" priority="6672">
      <formula>$G413&lt;&gt;"-"</formula>
    </cfRule>
  </conditionalFormatting>
  <conditionalFormatting sqref="D413">
    <cfRule type="expression" dxfId="1204" priority="6670">
      <formula>$H413&lt;&gt;"-"</formula>
    </cfRule>
  </conditionalFormatting>
  <conditionalFormatting sqref="E413">
    <cfRule type="expression" dxfId="1203" priority="6669">
      <formula>$I413&lt;&gt;"-"</formula>
    </cfRule>
  </conditionalFormatting>
  <conditionalFormatting sqref="B265">
    <cfRule type="cellIs" dxfId="1202" priority="3113" operator="equal">
      <formula>"."</formula>
    </cfRule>
  </conditionalFormatting>
  <conditionalFormatting sqref="B266">
    <cfRule type="cellIs" dxfId="1201" priority="3112" operator="equal">
      <formula>"."</formula>
    </cfRule>
  </conditionalFormatting>
  <conditionalFormatting sqref="B267">
    <cfRule type="cellIs" dxfId="1200" priority="3111" operator="equal">
      <formula>"."</formula>
    </cfRule>
  </conditionalFormatting>
  <conditionalFormatting sqref="B268">
    <cfRule type="cellIs" dxfId="1199" priority="3110" operator="equal">
      <formula>"."</formula>
    </cfRule>
  </conditionalFormatting>
  <conditionalFormatting sqref="B269">
    <cfRule type="cellIs" dxfId="1198" priority="3109" operator="equal">
      <formula>"."</formula>
    </cfRule>
  </conditionalFormatting>
  <conditionalFormatting sqref="B16">
    <cfRule type="expression" dxfId="1197" priority="3105">
      <formula>AD16&lt;&gt;""</formula>
    </cfRule>
  </conditionalFormatting>
  <conditionalFormatting sqref="Z16">
    <cfRule type="cellIs" dxfId="1196" priority="3103" operator="greaterThan">
      <formula>0</formula>
    </cfRule>
    <cfRule type="cellIs" dxfId="1195" priority="3104" operator="lessThan">
      <formula>0</formula>
    </cfRule>
  </conditionalFormatting>
  <conditionalFormatting sqref="S16">
    <cfRule type="cellIs" dxfId="1194" priority="3102" operator="lessThan">
      <formula>0</formula>
    </cfRule>
  </conditionalFormatting>
  <conditionalFormatting sqref="T14:T15">
    <cfRule type="expression" dxfId="1193" priority="3106">
      <formula>#REF!="Yes"</formula>
    </cfRule>
  </conditionalFormatting>
  <conditionalFormatting sqref="P16">
    <cfRule type="cellIs" dxfId="1192" priority="3100" operator="equal">
      <formula>AS_DURATION_EFFORT</formula>
    </cfRule>
    <cfRule type="cellIs" dxfId="1191" priority="3101" operator="equal">
      <formula>AS_DEV_EFFORT</formula>
    </cfRule>
  </conditionalFormatting>
  <conditionalFormatting sqref="B14:B15">
    <cfRule type="expression" dxfId="1190" priority="3099">
      <formula>AD14&lt;&gt;""</formula>
    </cfRule>
  </conditionalFormatting>
  <conditionalFormatting sqref="F16">
    <cfRule type="expression" dxfId="1189" priority="3098">
      <formula>$K16&lt;&gt;""</formula>
    </cfRule>
  </conditionalFormatting>
  <conditionalFormatting sqref="C16">
    <cfRule type="expression" dxfId="1188" priority="3097">
      <formula>$G16&lt;&gt;"-"</formula>
    </cfRule>
  </conditionalFormatting>
  <conditionalFormatting sqref="D16">
    <cfRule type="expression" dxfId="1187" priority="3096">
      <formula>$H16&lt;&gt;"-"</formula>
    </cfRule>
  </conditionalFormatting>
  <conditionalFormatting sqref="E16">
    <cfRule type="expression" dxfId="1186" priority="3095">
      <formula>$I16&lt;&gt;"-"</formula>
    </cfRule>
  </conditionalFormatting>
  <conditionalFormatting sqref="B17">
    <cfRule type="expression" dxfId="1185" priority="3092">
      <formula>AD17&lt;&gt;""</formula>
    </cfRule>
  </conditionalFormatting>
  <conditionalFormatting sqref="Z17">
    <cfRule type="cellIs" dxfId="1184" priority="3090" operator="greaterThan">
      <formula>0</formula>
    </cfRule>
    <cfRule type="cellIs" dxfId="1183" priority="3091" operator="lessThan">
      <formula>0</formula>
    </cfRule>
  </conditionalFormatting>
  <conditionalFormatting sqref="S17">
    <cfRule type="cellIs" dxfId="1182" priority="3089" operator="lessThan">
      <formula>0</formula>
    </cfRule>
  </conditionalFormatting>
  <conditionalFormatting sqref="P17">
    <cfRule type="cellIs" dxfId="1181" priority="3087" operator="equal">
      <formula>AS_DURATION_EFFORT</formula>
    </cfRule>
    <cfRule type="cellIs" dxfId="1180" priority="3088" operator="equal">
      <formula>AS_DEV_EFFORT</formula>
    </cfRule>
  </conditionalFormatting>
  <conditionalFormatting sqref="F17">
    <cfRule type="expression" dxfId="1179" priority="3086">
      <formula>$K17&lt;&gt;""</formula>
    </cfRule>
  </conditionalFormatting>
  <conditionalFormatting sqref="C17">
    <cfRule type="expression" dxfId="1178" priority="3085">
      <formula>$G17&lt;&gt;"-"</formula>
    </cfRule>
  </conditionalFormatting>
  <conditionalFormatting sqref="D17">
    <cfRule type="expression" dxfId="1177" priority="3084">
      <formula>$H17&lt;&gt;"-"</formula>
    </cfRule>
  </conditionalFormatting>
  <conditionalFormatting sqref="E17">
    <cfRule type="expression" dxfId="1176" priority="3083">
      <formula>$I17&lt;&gt;"-"</formula>
    </cfRule>
  </conditionalFormatting>
  <conditionalFormatting sqref="B69">
    <cfRule type="expression" dxfId="1175" priority="3079">
      <formula>AD69&lt;&gt;""</formula>
    </cfRule>
  </conditionalFormatting>
  <conditionalFormatting sqref="Z69">
    <cfRule type="cellIs" dxfId="1174" priority="3077" operator="greaterThan">
      <formula>0</formula>
    </cfRule>
    <cfRule type="cellIs" dxfId="1173" priority="3078" operator="lessThan">
      <formula>0</formula>
    </cfRule>
  </conditionalFormatting>
  <conditionalFormatting sqref="S69">
    <cfRule type="cellIs" dxfId="1172" priority="3076" operator="lessThan">
      <formula>0</formula>
    </cfRule>
  </conditionalFormatting>
  <conditionalFormatting sqref="T67:T68">
    <cfRule type="expression" dxfId="1171" priority="3080">
      <formula>#REF!="Yes"</formula>
    </cfRule>
  </conditionalFormatting>
  <conditionalFormatting sqref="P69">
    <cfRule type="cellIs" dxfId="1170" priority="3074" operator="equal">
      <formula>AS_DURATION_EFFORT</formula>
    </cfRule>
    <cfRule type="cellIs" dxfId="1169" priority="3075" operator="equal">
      <formula>AS_DEV_EFFORT</formula>
    </cfRule>
  </conditionalFormatting>
  <conditionalFormatting sqref="B67:B68">
    <cfRule type="expression" dxfId="1168" priority="3073">
      <formula>AD67&lt;&gt;""</formula>
    </cfRule>
  </conditionalFormatting>
  <conditionalFormatting sqref="F69">
    <cfRule type="expression" dxfId="1167" priority="3072">
      <formula>$K69&lt;&gt;""</formula>
    </cfRule>
  </conditionalFormatting>
  <conditionalFormatting sqref="C69">
    <cfRule type="expression" dxfId="1166" priority="3071">
      <formula>$G69&lt;&gt;"-"</formula>
    </cfRule>
  </conditionalFormatting>
  <conditionalFormatting sqref="D69">
    <cfRule type="expression" dxfId="1165" priority="3070">
      <formula>$H69&lt;&gt;"-"</formula>
    </cfRule>
  </conditionalFormatting>
  <conditionalFormatting sqref="E69">
    <cfRule type="expression" dxfId="1164" priority="3069">
      <formula>$I69&lt;&gt;"-"</formula>
    </cfRule>
  </conditionalFormatting>
  <conditionalFormatting sqref="B100">
    <cfRule type="expression" dxfId="1163" priority="3009">
      <formula>AD100&lt;&gt;""</formula>
    </cfRule>
  </conditionalFormatting>
  <conditionalFormatting sqref="Z100">
    <cfRule type="cellIs" dxfId="1162" priority="3007" operator="greaterThan">
      <formula>0</formula>
    </cfRule>
    <cfRule type="cellIs" dxfId="1161" priority="3008" operator="lessThan">
      <formula>0</formula>
    </cfRule>
  </conditionalFormatting>
  <conditionalFormatting sqref="S100">
    <cfRule type="cellIs" dxfId="1160" priority="3006" operator="lessThan">
      <formula>0</formula>
    </cfRule>
  </conditionalFormatting>
  <conditionalFormatting sqref="T98:T99">
    <cfRule type="expression" dxfId="1159" priority="3010">
      <formula>#REF!="Yes"</formula>
    </cfRule>
  </conditionalFormatting>
  <conditionalFormatting sqref="P100">
    <cfRule type="cellIs" dxfId="1158" priority="3004" operator="equal">
      <formula>AS_DURATION_EFFORT</formula>
    </cfRule>
    <cfRule type="cellIs" dxfId="1157" priority="3005" operator="equal">
      <formula>AS_DEV_EFFORT</formula>
    </cfRule>
  </conditionalFormatting>
  <conditionalFormatting sqref="B98:B99">
    <cfRule type="expression" dxfId="1156" priority="3003">
      <formula>AD98&lt;&gt;""</formula>
    </cfRule>
  </conditionalFormatting>
  <conditionalFormatting sqref="F100">
    <cfRule type="expression" dxfId="1155" priority="3002">
      <formula>$K100&lt;&gt;""</formula>
    </cfRule>
  </conditionalFormatting>
  <conditionalFormatting sqref="C100">
    <cfRule type="expression" dxfId="1154" priority="3001">
      <formula>$G100&lt;&gt;"-"</formula>
    </cfRule>
  </conditionalFormatting>
  <conditionalFormatting sqref="D100">
    <cfRule type="expression" dxfId="1153" priority="3000">
      <formula>$H100&lt;&gt;"-"</formula>
    </cfRule>
  </conditionalFormatting>
  <conditionalFormatting sqref="E100">
    <cfRule type="expression" dxfId="1152" priority="2999">
      <formula>$I100&lt;&gt;"-"</formula>
    </cfRule>
  </conditionalFormatting>
  <conditionalFormatting sqref="B158">
    <cfRule type="expression" dxfId="1151" priority="2995">
      <formula>AD158&lt;&gt;""</formula>
    </cfRule>
  </conditionalFormatting>
  <conditionalFormatting sqref="Z158">
    <cfRule type="cellIs" dxfId="1150" priority="2993" operator="greaterThan">
      <formula>0</formula>
    </cfRule>
    <cfRule type="cellIs" dxfId="1149" priority="2994" operator="lessThan">
      <formula>0</formula>
    </cfRule>
  </conditionalFormatting>
  <conditionalFormatting sqref="S158">
    <cfRule type="cellIs" dxfId="1148" priority="2992" operator="lessThan">
      <formula>0</formula>
    </cfRule>
  </conditionalFormatting>
  <conditionalFormatting sqref="T156:T157">
    <cfRule type="expression" dxfId="1147" priority="2996">
      <formula>#REF!="Yes"</formula>
    </cfRule>
  </conditionalFormatting>
  <conditionalFormatting sqref="P158">
    <cfRule type="cellIs" dxfId="1146" priority="2990" operator="equal">
      <formula>AS_DURATION_EFFORT</formula>
    </cfRule>
    <cfRule type="cellIs" dxfId="1145" priority="2991" operator="equal">
      <formula>AS_DEV_EFFORT</formula>
    </cfRule>
  </conditionalFormatting>
  <conditionalFormatting sqref="B156:B157">
    <cfRule type="expression" dxfId="1144" priority="2989">
      <formula>AD156&lt;&gt;""</formula>
    </cfRule>
  </conditionalFormatting>
  <conditionalFormatting sqref="F158">
    <cfRule type="expression" dxfId="1143" priority="2988">
      <formula>$K158&lt;&gt;""</formula>
    </cfRule>
  </conditionalFormatting>
  <conditionalFormatting sqref="C158">
    <cfRule type="expression" dxfId="1142" priority="2987">
      <formula>$G158&lt;&gt;"-"</formula>
    </cfRule>
  </conditionalFormatting>
  <conditionalFormatting sqref="D158">
    <cfRule type="expression" dxfId="1141" priority="2986">
      <formula>$H158&lt;&gt;"-"</formula>
    </cfRule>
  </conditionalFormatting>
  <conditionalFormatting sqref="E158">
    <cfRule type="expression" dxfId="1140" priority="2985">
      <formula>$I158&lt;&gt;"-"</formula>
    </cfRule>
  </conditionalFormatting>
  <conditionalFormatting sqref="B107">
    <cfRule type="expression" dxfId="1139" priority="2967">
      <formula>AD107&lt;&gt;""</formula>
    </cfRule>
  </conditionalFormatting>
  <conditionalFormatting sqref="Z107">
    <cfRule type="cellIs" dxfId="1138" priority="2965" operator="greaterThan">
      <formula>0</formula>
    </cfRule>
    <cfRule type="cellIs" dxfId="1137" priority="2966" operator="lessThan">
      <formula>0</formula>
    </cfRule>
  </conditionalFormatting>
  <conditionalFormatting sqref="S107">
    <cfRule type="cellIs" dxfId="1136" priority="2964" operator="lessThan">
      <formula>0</formula>
    </cfRule>
  </conditionalFormatting>
  <conditionalFormatting sqref="T105:T106">
    <cfRule type="expression" dxfId="1135" priority="2968">
      <formula>#REF!="Yes"</formula>
    </cfRule>
  </conditionalFormatting>
  <conditionalFormatting sqref="P107">
    <cfRule type="cellIs" dxfId="1134" priority="2962" operator="equal">
      <formula>AS_DURATION_EFFORT</formula>
    </cfRule>
    <cfRule type="cellIs" dxfId="1133" priority="2963" operator="equal">
      <formula>AS_DEV_EFFORT</formula>
    </cfRule>
  </conditionalFormatting>
  <conditionalFormatting sqref="B105:B106">
    <cfRule type="expression" dxfId="1132" priority="2961">
      <formula>AD105&lt;&gt;""</formula>
    </cfRule>
  </conditionalFormatting>
  <conditionalFormatting sqref="F107">
    <cfRule type="expression" dxfId="1131" priority="2960">
      <formula>$K107&lt;&gt;""</formula>
    </cfRule>
  </conditionalFormatting>
  <conditionalFormatting sqref="C107">
    <cfRule type="expression" dxfId="1130" priority="2959">
      <formula>$G107&lt;&gt;"-"</formula>
    </cfRule>
  </conditionalFormatting>
  <conditionalFormatting sqref="D107">
    <cfRule type="expression" dxfId="1129" priority="2958">
      <formula>$H107&lt;&gt;"-"</formula>
    </cfRule>
  </conditionalFormatting>
  <conditionalFormatting sqref="E107">
    <cfRule type="expression" dxfId="1128" priority="2957">
      <formula>$I107&lt;&gt;"-"</formula>
    </cfRule>
  </conditionalFormatting>
  <conditionalFormatting sqref="S112">
    <cfRule type="expression" dxfId="1127" priority="2952">
      <formula>#REF!="Yes"</formula>
    </cfRule>
  </conditionalFormatting>
  <conditionalFormatting sqref="B112">
    <cfRule type="expression" dxfId="1126" priority="2951">
      <formula>AD112&lt;&gt;""</formula>
    </cfRule>
  </conditionalFormatting>
  <conditionalFormatting sqref="B23">
    <cfRule type="expression" dxfId="1125" priority="2947">
      <formula>AD23&lt;&gt;""</formula>
    </cfRule>
  </conditionalFormatting>
  <conditionalFormatting sqref="Z23">
    <cfRule type="cellIs" dxfId="1124" priority="2945" operator="greaterThan">
      <formula>0</formula>
    </cfRule>
    <cfRule type="cellIs" dxfId="1123" priority="2946" operator="lessThan">
      <formula>0</formula>
    </cfRule>
  </conditionalFormatting>
  <conditionalFormatting sqref="S23">
    <cfRule type="cellIs" dxfId="1122" priority="2944" operator="lessThan">
      <formula>0</formula>
    </cfRule>
  </conditionalFormatting>
  <conditionalFormatting sqref="T20:T21">
    <cfRule type="expression" dxfId="1121" priority="2948">
      <formula>#REF!="Yes"</formula>
    </cfRule>
  </conditionalFormatting>
  <conditionalFormatting sqref="P23">
    <cfRule type="cellIs" dxfId="1120" priority="2942" operator="equal">
      <formula>AS_DURATION_EFFORT</formula>
    </cfRule>
    <cfRule type="cellIs" dxfId="1119" priority="2943" operator="equal">
      <formula>AS_DEV_EFFORT</formula>
    </cfRule>
  </conditionalFormatting>
  <conditionalFormatting sqref="B20:B21">
    <cfRule type="expression" dxfId="1118" priority="2941">
      <formula>AD20&lt;&gt;""</formula>
    </cfRule>
  </conditionalFormatting>
  <conditionalFormatting sqref="F23">
    <cfRule type="expression" dxfId="1117" priority="2940">
      <formula>$K23&lt;&gt;""</formula>
    </cfRule>
  </conditionalFormatting>
  <conditionalFormatting sqref="C23">
    <cfRule type="expression" dxfId="1116" priority="2939">
      <formula>$G23&lt;&gt;"-"</formula>
    </cfRule>
  </conditionalFormatting>
  <conditionalFormatting sqref="D23">
    <cfRule type="expression" dxfId="1115" priority="2938">
      <formula>$H23&lt;&gt;"-"</formula>
    </cfRule>
  </conditionalFormatting>
  <conditionalFormatting sqref="E23">
    <cfRule type="expression" dxfId="1114" priority="2937">
      <formula>$I23&lt;&gt;"-"</formula>
    </cfRule>
  </conditionalFormatting>
  <conditionalFormatting sqref="B24">
    <cfRule type="expression" dxfId="1113" priority="2934">
      <formula>AD24&lt;&gt;""</formula>
    </cfRule>
  </conditionalFormatting>
  <conditionalFormatting sqref="Z24">
    <cfRule type="cellIs" dxfId="1112" priority="2932" operator="greaterThan">
      <formula>0</formula>
    </cfRule>
    <cfRule type="cellIs" dxfId="1111" priority="2933" operator="lessThan">
      <formula>0</formula>
    </cfRule>
  </conditionalFormatting>
  <conditionalFormatting sqref="S24">
    <cfRule type="cellIs" dxfId="1110" priority="2931" operator="lessThan">
      <formula>0</formula>
    </cfRule>
  </conditionalFormatting>
  <conditionalFormatting sqref="P24">
    <cfRule type="cellIs" dxfId="1109" priority="2929" operator="equal">
      <formula>AS_DURATION_EFFORT</formula>
    </cfRule>
    <cfRule type="cellIs" dxfId="1108" priority="2930" operator="equal">
      <formula>AS_DEV_EFFORT</formula>
    </cfRule>
  </conditionalFormatting>
  <conditionalFormatting sqref="F24">
    <cfRule type="expression" dxfId="1107" priority="2928">
      <formula>$K24&lt;&gt;""</formula>
    </cfRule>
  </conditionalFormatting>
  <conditionalFormatting sqref="C24">
    <cfRule type="expression" dxfId="1106" priority="2927">
      <formula>$G24&lt;&gt;"-"</formula>
    </cfRule>
  </conditionalFormatting>
  <conditionalFormatting sqref="D24">
    <cfRule type="expression" dxfId="1105" priority="2926">
      <formula>$H24&lt;&gt;"-"</formula>
    </cfRule>
  </conditionalFormatting>
  <conditionalFormatting sqref="E24">
    <cfRule type="expression" dxfId="1104" priority="2925">
      <formula>$I24&lt;&gt;"-"</formula>
    </cfRule>
  </conditionalFormatting>
  <conditionalFormatting sqref="B74">
    <cfRule type="expression" dxfId="1103" priority="2871">
      <formula>AD74&lt;&gt;""</formula>
    </cfRule>
  </conditionalFormatting>
  <conditionalFormatting sqref="Z74">
    <cfRule type="cellIs" dxfId="1102" priority="2869" operator="greaterThan">
      <formula>0</formula>
    </cfRule>
    <cfRule type="cellIs" dxfId="1101" priority="2870" operator="lessThan">
      <formula>0</formula>
    </cfRule>
  </conditionalFormatting>
  <conditionalFormatting sqref="S74">
    <cfRule type="cellIs" dxfId="1100" priority="2868" operator="lessThan">
      <formula>0</formula>
    </cfRule>
  </conditionalFormatting>
  <conditionalFormatting sqref="T72:T73">
    <cfRule type="expression" dxfId="1099" priority="2872">
      <formula>#REF!="Yes"</formula>
    </cfRule>
  </conditionalFormatting>
  <conditionalFormatting sqref="P74">
    <cfRule type="cellIs" dxfId="1098" priority="2866" operator="equal">
      <formula>AS_DURATION_EFFORT</formula>
    </cfRule>
    <cfRule type="cellIs" dxfId="1097" priority="2867" operator="equal">
      <formula>AS_DEV_EFFORT</formula>
    </cfRule>
  </conditionalFormatting>
  <conditionalFormatting sqref="B72:B73">
    <cfRule type="expression" dxfId="1096" priority="2865">
      <formula>AD72&lt;&gt;""</formula>
    </cfRule>
  </conditionalFormatting>
  <conditionalFormatting sqref="F74">
    <cfRule type="expression" dxfId="1095" priority="2864">
      <formula>$K74&lt;&gt;""</formula>
    </cfRule>
  </conditionalFormatting>
  <conditionalFormatting sqref="C74">
    <cfRule type="expression" dxfId="1094" priority="2863">
      <formula>$G74&lt;&gt;"-"</formula>
    </cfRule>
  </conditionalFormatting>
  <conditionalFormatting sqref="D74">
    <cfRule type="expression" dxfId="1093" priority="2862">
      <formula>$H74&lt;&gt;"-"</formula>
    </cfRule>
  </conditionalFormatting>
  <conditionalFormatting sqref="E74">
    <cfRule type="expression" dxfId="1092" priority="2861">
      <formula>$I74&lt;&gt;"-"</formula>
    </cfRule>
  </conditionalFormatting>
  <conditionalFormatting sqref="B80">
    <cfRule type="expression" dxfId="1091" priority="2857">
      <formula>AD80&lt;&gt;""</formula>
    </cfRule>
  </conditionalFormatting>
  <conditionalFormatting sqref="Z80">
    <cfRule type="cellIs" dxfId="1090" priority="2855" operator="greaterThan">
      <formula>0</formula>
    </cfRule>
    <cfRule type="cellIs" dxfId="1089" priority="2856" operator="lessThan">
      <formula>0</formula>
    </cfRule>
  </conditionalFormatting>
  <conditionalFormatting sqref="S80">
    <cfRule type="cellIs" dxfId="1088" priority="2854" operator="lessThan">
      <formula>0</formula>
    </cfRule>
  </conditionalFormatting>
  <conditionalFormatting sqref="T78:T79">
    <cfRule type="expression" dxfId="1087" priority="2858">
      <formula>#REF!="Yes"</formula>
    </cfRule>
  </conditionalFormatting>
  <conditionalFormatting sqref="P80">
    <cfRule type="cellIs" dxfId="1086" priority="2852" operator="equal">
      <formula>AS_DURATION_EFFORT</formula>
    </cfRule>
    <cfRule type="cellIs" dxfId="1085" priority="2853" operator="equal">
      <formula>AS_DEV_EFFORT</formula>
    </cfRule>
  </conditionalFormatting>
  <conditionalFormatting sqref="B78:B79">
    <cfRule type="expression" dxfId="1084" priority="2851">
      <formula>AD78&lt;&gt;""</formula>
    </cfRule>
  </conditionalFormatting>
  <conditionalFormatting sqref="F80">
    <cfRule type="expression" dxfId="1083" priority="2850">
      <formula>$K80&lt;&gt;""</formula>
    </cfRule>
  </conditionalFormatting>
  <conditionalFormatting sqref="C80">
    <cfRule type="expression" dxfId="1082" priority="2849">
      <formula>$G80&lt;&gt;"-"</formula>
    </cfRule>
  </conditionalFormatting>
  <conditionalFormatting sqref="D80">
    <cfRule type="expression" dxfId="1081" priority="2848">
      <formula>$H80&lt;&gt;"-"</formula>
    </cfRule>
  </conditionalFormatting>
  <conditionalFormatting sqref="E80">
    <cfRule type="expression" dxfId="1080" priority="2847">
      <formula>$I80&lt;&gt;"-"</formula>
    </cfRule>
  </conditionalFormatting>
  <conditionalFormatting sqref="B87">
    <cfRule type="expression" dxfId="1079" priority="2843">
      <formula>AD87&lt;&gt;""</formula>
    </cfRule>
  </conditionalFormatting>
  <conditionalFormatting sqref="Z87">
    <cfRule type="cellIs" dxfId="1078" priority="2841" operator="greaterThan">
      <formula>0</formula>
    </cfRule>
    <cfRule type="cellIs" dxfId="1077" priority="2842" operator="lessThan">
      <formula>0</formula>
    </cfRule>
  </conditionalFormatting>
  <conditionalFormatting sqref="S87">
    <cfRule type="cellIs" dxfId="1076" priority="2840" operator="lessThan">
      <formula>0</formula>
    </cfRule>
  </conditionalFormatting>
  <conditionalFormatting sqref="T85:T86">
    <cfRule type="expression" dxfId="1075" priority="2844">
      <formula>#REF!="Yes"</formula>
    </cfRule>
  </conditionalFormatting>
  <conditionalFormatting sqref="P87">
    <cfRule type="cellIs" dxfId="1074" priority="2838" operator="equal">
      <formula>AS_DURATION_EFFORT</formula>
    </cfRule>
    <cfRule type="cellIs" dxfId="1073" priority="2839" operator="equal">
      <formula>AS_DEV_EFFORT</formula>
    </cfRule>
  </conditionalFormatting>
  <conditionalFormatting sqref="B85:B86">
    <cfRule type="expression" dxfId="1072" priority="2837">
      <formula>AD85&lt;&gt;""</formula>
    </cfRule>
  </conditionalFormatting>
  <conditionalFormatting sqref="F87">
    <cfRule type="expression" dxfId="1071" priority="2836">
      <formula>$K87&lt;&gt;""</formula>
    </cfRule>
  </conditionalFormatting>
  <conditionalFormatting sqref="C87">
    <cfRule type="expression" dxfId="1070" priority="2835">
      <formula>$G87&lt;&gt;"-"</formula>
    </cfRule>
  </conditionalFormatting>
  <conditionalFormatting sqref="D87">
    <cfRule type="expression" dxfId="1069" priority="2834">
      <formula>$H87&lt;&gt;"-"</formula>
    </cfRule>
  </conditionalFormatting>
  <conditionalFormatting sqref="E87">
    <cfRule type="expression" dxfId="1068" priority="2833">
      <formula>$I87&lt;&gt;"-"</formula>
    </cfRule>
  </conditionalFormatting>
  <conditionalFormatting sqref="B70">
    <cfRule type="expression" dxfId="1067" priority="2802">
      <formula>AD70&lt;&gt;""</formula>
    </cfRule>
  </conditionalFormatting>
  <conditionalFormatting sqref="Z70">
    <cfRule type="cellIs" dxfId="1066" priority="2800" operator="greaterThan">
      <formula>0</formula>
    </cfRule>
    <cfRule type="cellIs" dxfId="1065" priority="2801" operator="lessThan">
      <formula>0</formula>
    </cfRule>
  </conditionalFormatting>
  <conditionalFormatting sqref="S70">
    <cfRule type="cellIs" dxfId="1064" priority="2799" operator="lessThan">
      <formula>0</formula>
    </cfRule>
  </conditionalFormatting>
  <conditionalFormatting sqref="P70">
    <cfRule type="cellIs" dxfId="1063" priority="2797" operator="equal">
      <formula>AS_DURATION_EFFORT</formula>
    </cfRule>
    <cfRule type="cellIs" dxfId="1062" priority="2798" operator="equal">
      <formula>AS_DEV_EFFORT</formula>
    </cfRule>
  </conditionalFormatting>
  <conditionalFormatting sqref="F70">
    <cfRule type="expression" dxfId="1061" priority="2796">
      <formula>$K70&lt;&gt;""</formula>
    </cfRule>
  </conditionalFormatting>
  <conditionalFormatting sqref="C70">
    <cfRule type="expression" dxfId="1060" priority="2795">
      <formula>$G70&lt;&gt;"-"</formula>
    </cfRule>
  </conditionalFormatting>
  <conditionalFormatting sqref="D70">
    <cfRule type="expression" dxfId="1059" priority="2794">
      <formula>$H70&lt;&gt;"-"</formula>
    </cfRule>
  </conditionalFormatting>
  <conditionalFormatting sqref="E70">
    <cfRule type="expression" dxfId="1058" priority="2793">
      <formula>$I70&lt;&gt;"-"</formula>
    </cfRule>
  </conditionalFormatting>
  <conditionalFormatting sqref="B81">
    <cfRule type="expression" dxfId="1057" priority="2790">
      <formula>AD81&lt;&gt;""</formula>
    </cfRule>
  </conditionalFormatting>
  <conditionalFormatting sqref="Z81">
    <cfRule type="cellIs" dxfId="1056" priority="2788" operator="greaterThan">
      <formula>0</formula>
    </cfRule>
    <cfRule type="cellIs" dxfId="1055" priority="2789" operator="lessThan">
      <formula>0</formula>
    </cfRule>
  </conditionalFormatting>
  <conditionalFormatting sqref="S81">
    <cfRule type="cellIs" dxfId="1054" priority="2787" operator="lessThan">
      <formula>0</formula>
    </cfRule>
  </conditionalFormatting>
  <conditionalFormatting sqref="P81">
    <cfRule type="cellIs" dxfId="1053" priority="2785" operator="equal">
      <formula>AS_DURATION_EFFORT</formula>
    </cfRule>
    <cfRule type="cellIs" dxfId="1052" priority="2786" operator="equal">
      <formula>AS_DEV_EFFORT</formula>
    </cfRule>
  </conditionalFormatting>
  <conditionalFormatting sqref="F81">
    <cfRule type="expression" dxfId="1051" priority="2784">
      <formula>$K81&lt;&gt;""</formula>
    </cfRule>
  </conditionalFormatting>
  <conditionalFormatting sqref="C81">
    <cfRule type="expression" dxfId="1050" priority="2783">
      <formula>$G81&lt;&gt;"-"</formula>
    </cfRule>
  </conditionalFormatting>
  <conditionalFormatting sqref="D81">
    <cfRule type="expression" dxfId="1049" priority="2782">
      <formula>$H81&lt;&gt;"-"</formula>
    </cfRule>
  </conditionalFormatting>
  <conditionalFormatting sqref="E81">
    <cfRule type="expression" dxfId="1048" priority="2781">
      <formula>$I81&lt;&gt;"-"</formula>
    </cfRule>
  </conditionalFormatting>
  <conditionalFormatting sqref="B82">
    <cfRule type="expression" dxfId="1047" priority="2778">
      <formula>AD82&lt;&gt;""</formula>
    </cfRule>
  </conditionalFormatting>
  <conditionalFormatting sqref="Z82">
    <cfRule type="cellIs" dxfId="1046" priority="2776" operator="greaterThan">
      <formula>0</formula>
    </cfRule>
    <cfRule type="cellIs" dxfId="1045" priority="2777" operator="lessThan">
      <formula>0</formula>
    </cfRule>
  </conditionalFormatting>
  <conditionalFormatting sqref="S82">
    <cfRule type="cellIs" dxfId="1044" priority="2775" operator="lessThan">
      <formula>0</formula>
    </cfRule>
  </conditionalFormatting>
  <conditionalFormatting sqref="P82">
    <cfRule type="cellIs" dxfId="1043" priority="2773" operator="equal">
      <formula>AS_DURATION_EFFORT</formula>
    </cfRule>
    <cfRule type="cellIs" dxfId="1042" priority="2774" operator="equal">
      <formula>AS_DEV_EFFORT</formula>
    </cfRule>
  </conditionalFormatting>
  <conditionalFormatting sqref="F82">
    <cfRule type="expression" dxfId="1041" priority="2772">
      <formula>$K82&lt;&gt;""</formula>
    </cfRule>
  </conditionalFormatting>
  <conditionalFormatting sqref="C82">
    <cfRule type="expression" dxfId="1040" priority="2771">
      <formula>$G82&lt;&gt;"-"</formula>
    </cfRule>
  </conditionalFormatting>
  <conditionalFormatting sqref="D82">
    <cfRule type="expression" dxfId="1039" priority="2770">
      <formula>$H82&lt;&gt;"-"</formula>
    </cfRule>
  </conditionalFormatting>
  <conditionalFormatting sqref="E82">
    <cfRule type="expression" dxfId="1038" priority="2769">
      <formula>$I82&lt;&gt;"-"</formula>
    </cfRule>
  </conditionalFormatting>
  <conditionalFormatting sqref="B83">
    <cfRule type="expression" dxfId="1037" priority="2766">
      <formula>AD83&lt;&gt;""</formula>
    </cfRule>
  </conditionalFormatting>
  <conditionalFormatting sqref="Z83">
    <cfRule type="cellIs" dxfId="1036" priority="2764" operator="greaterThan">
      <formula>0</formula>
    </cfRule>
    <cfRule type="cellIs" dxfId="1035" priority="2765" operator="lessThan">
      <formula>0</formula>
    </cfRule>
  </conditionalFormatting>
  <conditionalFormatting sqref="S83">
    <cfRule type="cellIs" dxfId="1034" priority="2763" operator="lessThan">
      <formula>0</formula>
    </cfRule>
  </conditionalFormatting>
  <conditionalFormatting sqref="P83">
    <cfRule type="cellIs" dxfId="1033" priority="2761" operator="equal">
      <formula>AS_DURATION_EFFORT</formula>
    </cfRule>
    <cfRule type="cellIs" dxfId="1032" priority="2762" operator="equal">
      <formula>AS_DEV_EFFORT</formula>
    </cfRule>
  </conditionalFormatting>
  <conditionalFormatting sqref="F83">
    <cfRule type="expression" dxfId="1031" priority="2760">
      <formula>$K83&lt;&gt;""</formula>
    </cfRule>
  </conditionalFormatting>
  <conditionalFormatting sqref="C83">
    <cfRule type="expression" dxfId="1030" priority="2759">
      <formula>$G83&lt;&gt;"-"</formula>
    </cfRule>
  </conditionalFormatting>
  <conditionalFormatting sqref="D83">
    <cfRule type="expression" dxfId="1029" priority="2758">
      <formula>$H83&lt;&gt;"-"</formula>
    </cfRule>
  </conditionalFormatting>
  <conditionalFormatting sqref="E83">
    <cfRule type="expression" dxfId="1028" priority="2757">
      <formula>$I83&lt;&gt;"-"</formula>
    </cfRule>
  </conditionalFormatting>
  <conditionalFormatting sqref="B93">
    <cfRule type="expression" dxfId="1027" priority="2718">
      <formula>AD93&lt;&gt;""</formula>
    </cfRule>
  </conditionalFormatting>
  <conditionalFormatting sqref="Z93">
    <cfRule type="cellIs" dxfId="1026" priority="2716" operator="greaterThan">
      <formula>0</formula>
    </cfRule>
    <cfRule type="cellIs" dxfId="1025" priority="2717" operator="lessThan">
      <formula>0</formula>
    </cfRule>
  </conditionalFormatting>
  <conditionalFormatting sqref="S93">
    <cfRule type="cellIs" dxfId="1024" priority="2715" operator="lessThan">
      <formula>0</formula>
    </cfRule>
  </conditionalFormatting>
  <conditionalFormatting sqref="P93">
    <cfRule type="cellIs" dxfId="1023" priority="2713" operator="equal">
      <formula>AS_DURATION_EFFORT</formula>
    </cfRule>
    <cfRule type="cellIs" dxfId="1022" priority="2714" operator="equal">
      <formula>AS_DEV_EFFORT</formula>
    </cfRule>
  </conditionalFormatting>
  <conditionalFormatting sqref="F93">
    <cfRule type="expression" dxfId="1021" priority="2712">
      <formula>$K93&lt;&gt;""</formula>
    </cfRule>
  </conditionalFormatting>
  <conditionalFormatting sqref="C93">
    <cfRule type="expression" dxfId="1020" priority="2711">
      <formula>$G93&lt;&gt;"-"</formula>
    </cfRule>
  </conditionalFormatting>
  <conditionalFormatting sqref="D93">
    <cfRule type="expression" dxfId="1019" priority="2710">
      <formula>$H93&lt;&gt;"-"</formula>
    </cfRule>
  </conditionalFormatting>
  <conditionalFormatting sqref="E93">
    <cfRule type="expression" dxfId="1018" priority="2709">
      <formula>$I93&lt;&gt;"-"</formula>
    </cfRule>
  </conditionalFormatting>
  <conditionalFormatting sqref="B92">
    <cfRule type="expression" dxfId="1017" priority="2706">
      <formula>AD92&lt;&gt;""</formula>
    </cfRule>
  </conditionalFormatting>
  <conditionalFormatting sqref="Z92">
    <cfRule type="cellIs" dxfId="1016" priority="2704" operator="greaterThan">
      <formula>0</formula>
    </cfRule>
    <cfRule type="cellIs" dxfId="1015" priority="2705" operator="lessThan">
      <formula>0</formula>
    </cfRule>
  </conditionalFormatting>
  <conditionalFormatting sqref="S92">
    <cfRule type="cellIs" dxfId="1014" priority="2703" operator="lessThan">
      <formula>0</formula>
    </cfRule>
  </conditionalFormatting>
  <conditionalFormatting sqref="P92">
    <cfRule type="cellIs" dxfId="1013" priority="2701" operator="equal">
      <formula>AS_DURATION_EFFORT</formula>
    </cfRule>
    <cfRule type="cellIs" dxfId="1012" priority="2702" operator="equal">
      <formula>AS_DEV_EFFORT</formula>
    </cfRule>
  </conditionalFormatting>
  <conditionalFormatting sqref="F92">
    <cfRule type="expression" dxfId="1011" priority="2700">
      <formula>$K92&lt;&gt;""</formula>
    </cfRule>
  </conditionalFormatting>
  <conditionalFormatting sqref="C92">
    <cfRule type="expression" dxfId="1010" priority="2699">
      <formula>$G92&lt;&gt;"-"</formula>
    </cfRule>
  </conditionalFormatting>
  <conditionalFormatting sqref="D92">
    <cfRule type="expression" dxfId="1009" priority="2698">
      <formula>$H92&lt;&gt;"-"</formula>
    </cfRule>
  </conditionalFormatting>
  <conditionalFormatting sqref="E92">
    <cfRule type="expression" dxfId="1008" priority="2697">
      <formula>$I92&lt;&gt;"-"</formula>
    </cfRule>
  </conditionalFormatting>
  <conditionalFormatting sqref="B91">
    <cfRule type="expression" dxfId="1007" priority="2694">
      <formula>AD91&lt;&gt;""</formula>
    </cfRule>
  </conditionalFormatting>
  <conditionalFormatting sqref="Z91">
    <cfRule type="cellIs" dxfId="1006" priority="2692" operator="greaterThan">
      <formula>0</formula>
    </cfRule>
    <cfRule type="cellIs" dxfId="1005" priority="2693" operator="lessThan">
      <formula>0</formula>
    </cfRule>
  </conditionalFormatting>
  <conditionalFormatting sqref="S91">
    <cfRule type="cellIs" dxfId="1004" priority="2691" operator="lessThan">
      <formula>0</formula>
    </cfRule>
  </conditionalFormatting>
  <conditionalFormatting sqref="P91">
    <cfRule type="cellIs" dxfId="1003" priority="2689" operator="equal">
      <formula>AS_DURATION_EFFORT</formula>
    </cfRule>
    <cfRule type="cellIs" dxfId="1002" priority="2690" operator="equal">
      <formula>AS_DEV_EFFORT</formula>
    </cfRule>
  </conditionalFormatting>
  <conditionalFormatting sqref="F91">
    <cfRule type="expression" dxfId="1001" priority="2688">
      <formula>$K91&lt;&gt;""</formula>
    </cfRule>
  </conditionalFormatting>
  <conditionalFormatting sqref="C91">
    <cfRule type="expression" dxfId="1000" priority="2687">
      <formula>$G91&lt;&gt;"-"</formula>
    </cfRule>
  </conditionalFormatting>
  <conditionalFormatting sqref="D91">
    <cfRule type="expression" dxfId="999" priority="2686">
      <formula>$H91&lt;&gt;"-"</formula>
    </cfRule>
  </conditionalFormatting>
  <conditionalFormatting sqref="E91">
    <cfRule type="expression" dxfId="998" priority="2685">
      <formula>$I91&lt;&gt;"-"</formula>
    </cfRule>
  </conditionalFormatting>
  <conditionalFormatting sqref="B90">
    <cfRule type="expression" dxfId="997" priority="2682">
      <formula>AD90&lt;&gt;""</formula>
    </cfRule>
  </conditionalFormatting>
  <conditionalFormatting sqref="Z90">
    <cfRule type="cellIs" dxfId="996" priority="2680" operator="greaterThan">
      <formula>0</formula>
    </cfRule>
    <cfRule type="cellIs" dxfId="995" priority="2681" operator="lessThan">
      <formula>0</formula>
    </cfRule>
  </conditionalFormatting>
  <conditionalFormatting sqref="S90">
    <cfRule type="cellIs" dxfId="994" priority="2679" operator="lessThan">
      <formula>0</formula>
    </cfRule>
  </conditionalFormatting>
  <conditionalFormatting sqref="P90">
    <cfRule type="cellIs" dxfId="993" priority="2677" operator="equal">
      <formula>AS_DURATION_EFFORT</formula>
    </cfRule>
    <cfRule type="cellIs" dxfId="992" priority="2678" operator="equal">
      <formula>AS_DEV_EFFORT</formula>
    </cfRule>
  </conditionalFormatting>
  <conditionalFormatting sqref="F90">
    <cfRule type="expression" dxfId="991" priority="2676">
      <formula>$K90&lt;&gt;""</formula>
    </cfRule>
  </conditionalFormatting>
  <conditionalFormatting sqref="C90">
    <cfRule type="expression" dxfId="990" priority="2675">
      <formula>$G90&lt;&gt;"-"</formula>
    </cfRule>
  </conditionalFormatting>
  <conditionalFormatting sqref="D90">
    <cfRule type="expression" dxfId="989" priority="2674">
      <formula>$H90&lt;&gt;"-"</formula>
    </cfRule>
  </conditionalFormatting>
  <conditionalFormatting sqref="E90">
    <cfRule type="expression" dxfId="988" priority="2673">
      <formula>$I90&lt;&gt;"-"</formula>
    </cfRule>
  </conditionalFormatting>
  <conditionalFormatting sqref="B89">
    <cfRule type="expression" dxfId="987" priority="2658">
      <formula>AD89&lt;&gt;""</formula>
    </cfRule>
  </conditionalFormatting>
  <conditionalFormatting sqref="Z89">
    <cfRule type="cellIs" dxfId="986" priority="2656" operator="greaterThan">
      <formula>0</formula>
    </cfRule>
    <cfRule type="cellIs" dxfId="985" priority="2657" operator="lessThan">
      <formula>0</formula>
    </cfRule>
  </conditionalFormatting>
  <conditionalFormatting sqref="S89">
    <cfRule type="cellIs" dxfId="984" priority="2655" operator="lessThan">
      <formula>0</formula>
    </cfRule>
  </conditionalFormatting>
  <conditionalFormatting sqref="P89">
    <cfRule type="cellIs" dxfId="983" priority="2653" operator="equal">
      <formula>AS_DURATION_EFFORT</formula>
    </cfRule>
    <cfRule type="cellIs" dxfId="982" priority="2654" operator="equal">
      <formula>AS_DEV_EFFORT</formula>
    </cfRule>
  </conditionalFormatting>
  <conditionalFormatting sqref="F89">
    <cfRule type="expression" dxfId="981" priority="2652">
      <formula>$K89&lt;&gt;""</formula>
    </cfRule>
  </conditionalFormatting>
  <conditionalFormatting sqref="C89">
    <cfRule type="expression" dxfId="980" priority="2651">
      <formula>$G89&lt;&gt;"-"</formula>
    </cfRule>
  </conditionalFormatting>
  <conditionalFormatting sqref="D89">
    <cfRule type="expression" dxfId="979" priority="2650">
      <formula>$H89&lt;&gt;"-"</formula>
    </cfRule>
  </conditionalFormatting>
  <conditionalFormatting sqref="E89">
    <cfRule type="expression" dxfId="978" priority="2649">
      <formula>$I89&lt;&gt;"-"</formula>
    </cfRule>
  </conditionalFormatting>
  <conditionalFormatting sqref="B88">
    <cfRule type="expression" dxfId="977" priority="2646">
      <formula>AD88&lt;&gt;""</formula>
    </cfRule>
  </conditionalFormatting>
  <conditionalFormatting sqref="Z88">
    <cfRule type="cellIs" dxfId="976" priority="2644" operator="greaterThan">
      <formula>0</formula>
    </cfRule>
    <cfRule type="cellIs" dxfId="975" priority="2645" operator="lessThan">
      <formula>0</formula>
    </cfRule>
  </conditionalFormatting>
  <conditionalFormatting sqref="S88">
    <cfRule type="cellIs" dxfId="974" priority="2643" operator="lessThan">
      <formula>0</formula>
    </cfRule>
  </conditionalFormatting>
  <conditionalFormatting sqref="P88">
    <cfRule type="cellIs" dxfId="973" priority="2641" operator="equal">
      <formula>AS_DURATION_EFFORT</formula>
    </cfRule>
    <cfRule type="cellIs" dxfId="972" priority="2642" operator="equal">
      <formula>AS_DEV_EFFORT</formula>
    </cfRule>
  </conditionalFormatting>
  <conditionalFormatting sqref="F88">
    <cfRule type="expression" dxfId="971" priority="2640">
      <formula>$K88&lt;&gt;""</formula>
    </cfRule>
  </conditionalFormatting>
  <conditionalFormatting sqref="C88">
    <cfRule type="expression" dxfId="970" priority="2639">
      <formula>$G88&lt;&gt;"-"</formula>
    </cfRule>
  </conditionalFormatting>
  <conditionalFormatting sqref="D88">
    <cfRule type="expression" dxfId="969" priority="2638">
      <formula>$H88&lt;&gt;"-"</formula>
    </cfRule>
  </conditionalFormatting>
  <conditionalFormatting sqref="E88">
    <cfRule type="expression" dxfId="968" priority="2637">
      <formula>$I88&lt;&gt;"-"</formula>
    </cfRule>
  </conditionalFormatting>
  <conditionalFormatting sqref="B103">
    <cfRule type="expression" dxfId="967" priority="2598">
      <formula>AD103&lt;&gt;""</formula>
    </cfRule>
  </conditionalFormatting>
  <conditionalFormatting sqref="Z103">
    <cfRule type="cellIs" dxfId="966" priority="2596" operator="greaterThan">
      <formula>0</formula>
    </cfRule>
    <cfRule type="cellIs" dxfId="965" priority="2597" operator="lessThan">
      <formula>0</formula>
    </cfRule>
  </conditionalFormatting>
  <conditionalFormatting sqref="S103">
    <cfRule type="cellIs" dxfId="964" priority="2595" operator="lessThan">
      <formula>0</formula>
    </cfRule>
  </conditionalFormatting>
  <conditionalFormatting sqref="P103">
    <cfRule type="cellIs" dxfId="963" priority="2593" operator="equal">
      <formula>AS_DURATION_EFFORT</formula>
    </cfRule>
    <cfRule type="cellIs" dxfId="962" priority="2594" operator="equal">
      <formula>AS_DEV_EFFORT</formula>
    </cfRule>
  </conditionalFormatting>
  <conditionalFormatting sqref="F103">
    <cfRule type="expression" dxfId="961" priority="2592">
      <formula>$K103&lt;&gt;""</formula>
    </cfRule>
  </conditionalFormatting>
  <conditionalFormatting sqref="C103">
    <cfRule type="expression" dxfId="960" priority="2591">
      <formula>$G103&lt;&gt;"-"</formula>
    </cfRule>
  </conditionalFormatting>
  <conditionalFormatting sqref="D103">
    <cfRule type="expression" dxfId="959" priority="2590">
      <formula>$H103&lt;&gt;"-"</formula>
    </cfRule>
  </conditionalFormatting>
  <conditionalFormatting sqref="E103">
    <cfRule type="expression" dxfId="958" priority="2589">
      <formula>$I103&lt;&gt;"-"</formula>
    </cfRule>
  </conditionalFormatting>
  <conditionalFormatting sqref="B102">
    <cfRule type="expression" dxfId="957" priority="2586">
      <formula>AD102&lt;&gt;""</formula>
    </cfRule>
  </conditionalFormatting>
  <conditionalFormatting sqref="Z102">
    <cfRule type="cellIs" dxfId="956" priority="2584" operator="greaterThan">
      <formula>0</formula>
    </cfRule>
    <cfRule type="cellIs" dxfId="955" priority="2585" operator="lessThan">
      <formula>0</formula>
    </cfRule>
  </conditionalFormatting>
  <conditionalFormatting sqref="S102">
    <cfRule type="cellIs" dxfId="954" priority="2583" operator="lessThan">
      <formula>0</formula>
    </cfRule>
  </conditionalFormatting>
  <conditionalFormatting sqref="P102">
    <cfRule type="cellIs" dxfId="953" priority="2581" operator="equal">
      <formula>AS_DURATION_EFFORT</formula>
    </cfRule>
    <cfRule type="cellIs" dxfId="952" priority="2582" operator="equal">
      <formula>AS_DEV_EFFORT</formula>
    </cfRule>
  </conditionalFormatting>
  <conditionalFormatting sqref="F102">
    <cfRule type="expression" dxfId="951" priority="2580">
      <formula>$K102&lt;&gt;""</formula>
    </cfRule>
  </conditionalFormatting>
  <conditionalFormatting sqref="C102">
    <cfRule type="expression" dxfId="950" priority="2579">
      <formula>$G102&lt;&gt;"-"</formula>
    </cfRule>
  </conditionalFormatting>
  <conditionalFormatting sqref="D102">
    <cfRule type="expression" dxfId="949" priority="2578">
      <formula>$H102&lt;&gt;"-"</formula>
    </cfRule>
  </conditionalFormatting>
  <conditionalFormatting sqref="E102">
    <cfRule type="expression" dxfId="948" priority="2577">
      <formula>$I102&lt;&gt;"-"</formula>
    </cfRule>
  </conditionalFormatting>
  <conditionalFormatting sqref="B101">
    <cfRule type="expression" dxfId="947" priority="2574">
      <formula>AD101&lt;&gt;""</formula>
    </cfRule>
  </conditionalFormatting>
  <conditionalFormatting sqref="Z101">
    <cfRule type="cellIs" dxfId="946" priority="2572" operator="greaterThan">
      <formula>0</formula>
    </cfRule>
    <cfRule type="cellIs" dxfId="945" priority="2573" operator="lessThan">
      <formula>0</formula>
    </cfRule>
  </conditionalFormatting>
  <conditionalFormatting sqref="S101">
    <cfRule type="cellIs" dxfId="944" priority="2571" operator="lessThan">
      <formula>0</formula>
    </cfRule>
  </conditionalFormatting>
  <conditionalFormatting sqref="P101">
    <cfRule type="cellIs" dxfId="943" priority="2569" operator="equal">
      <formula>AS_DURATION_EFFORT</formula>
    </cfRule>
    <cfRule type="cellIs" dxfId="942" priority="2570" operator="equal">
      <formula>AS_DEV_EFFORT</formula>
    </cfRule>
  </conditionalFormatting>
  <conditionalFormatting sqref="F101">
    <cfRule type="expression" dxfId="941" priority="2568">
      <formula>$K101&lt;&gt;""</formula>
    </cfRule>
  </conditionalFormatting>
  <conditionalFormatting sqref="C101">
    <cfRule type="expression" dxfId="940" priority="2567">
      <formula>$G101&lt;&gt;"-"</formula>
    </cfRule>
  </conditionalFormatting>
  <conditionalFormatting sqref="D101">
    <cfRule type="expression" dxfId="939" priority="2566">
      <formula>$H101&lt;&gt;"-"</formula>
    </cfRule>
  </conditionalFormatting>
  <conditionalFormatting sqref="E101">
    <cfRule type="expression" dxfId="938" priority="2565">
      <formula>$I101&lt;&gt;"-"</formula>
    </cfRule>
  </conditionalFormatting>
  <conditionalFormatting sqref="B110">
    <cfRule type="expression" dxfId="937" priority="2550">
      <formula>AD110&lt;&gt;""</formula>
    </cfRule>
  </conditionalFormatting>
  <conditionalFormatting sqref="Z110">
    <cfRule type="cellIs" dxfId="936" priority="2548" operator="greaterThan">
      <formula>0</formula>
    </cfRule>
    <cfRule type="cellIs" dxfId="935" priority="2549" operator="lessThan">
      <formula>0</formula>
    </cfRule>
  </conditionalFormatting>
  <conditionalFormatting sqref="S110">
    <cfRule type="cellIs" dxfId="934" priority="2547" operator="lessThan">
      <formula>0</formula>
    </cfRule>
  </conditionalFormatting>
  <conditionalFormatting sqref="P110">
    <cfRule type="cellIs" dxfId="933" priority="2545" operator="equal">
      <formula>AS_DURATION_EFFORT</formula>
    </cfRule>
    <cfRule type="cellIs" dxfId="932" priority="2546" operator="equal">
      <formula>AS_DEV_EFFORT</formula>
    </cfRule>
  </conditionalFormatting>
  <conditionalFormatting sqref="F110">
    <cfRule type="expression" dxfId="931" priority="2544">
      <formula>$K110&lt;&gt;""</formula>
    </cfRule>
  </conditionalFormatting>
  <conditionalFormatting sqref="C110">
    <cfRule type="expression" dxfId="930" priority="2543">
      <formula>$G110&lt;&gt;"-"</formula>
    </cfRule>
  </conditionalFormatting>
  <conditionalFormatting sqref="D110">
    <cfRule type="expression" dxfId="929" priority="2542">
      <formula>$H110&lt;&gt;"-"</formula>
    </cfRule>
  </conditionalFormatting>
  <conditionalFormatting sqref="E110">
    <cfRule type="expression" dxfId="928" priority="2541">
      <formula>$I110&lt;&gt;"-"</formula>
    </cfRule>
  </conditionalFormatting>
  <conditionalFormatting sqref="B109">
    <cfRule type="expression" dxfId="927" priority="2538">
      <formula>AD109&lt;&gt;""</formula>
    </cfRule>
  </conditionalFormatting>
  <conditionalFormatting sqref="Z109">
    <cfRule type="cellIs" dxfId="926" priority="2536" operator="greaterThan">
      <formula>0</formula>
    </cfRule>
    <cfRule type="cellIs" dxfId="925" priority="2537" operator="lessThan">
      <formula>0</formula>
    </cfRule>
  </conditionalFormatting>
  <conditionalFormatting sqref="S109">
    <cfRule type="cellIs" dxfId="924" priority="2535" operator="lessThan">
      <formula>0</formula>
    </cfRule>
  </conditionalFormatting>
  <conditionalFormatting sqref="P109">
    <cfRule type="cellIs" dxfId="923" priority="2533" operator="equal">
      <formula>AS_DURATION_EFFORT</formula>
    </cfRule>
    <cfRule type="cellIs" dxfId="922" priority="2534" operator="equal">
      <formula>AS_DEV_EFFORT</formula>
    </cfRule>
  </conditionalFormatting>
  <conditionalFormatting sqref="F109">
    <cfRule type="expression" dxfId="921" priority="2532">
      <formula>$K109&lt;&gt;""</formula>
    </cfRule>
  </conditionalFormatting>
  <conditionalFormatting sqref="C109">
    <cfRule type="expression" dxfId="920" priority="2531">
      <formula>$G109&lt;&gt;"-"</formula>
    </cfRule>
  </conditionalFormatting>
  <conditionalFormatting sqref="D109">
    <cfRule type="expression" dxfId="919" priority="2530">
      <formula>$H109&lt;&gt;"-"</formula>
    </cfRule>
  </conditionalFormatting>
  <conditionalFormatting sqref="E109">
    <cfRule type="expression" dxfId="918" priority="2529">
      <formula>$I109&lt;&gt;"-"</formula>
    </cfRule>
  </conditionalFormatting>
  <conditionalFormatting sqref="B108">
    <cfRule type="expression" dxfId="917" priority="2526">
      <formula>AD108&lt;&gt;""</formula>
    </cfRule>
  </conditionalFormatting>
  <conditionalFormatting sqref="Z108">
    <cfRule type="cellIs" dxfId="916" priority="2524" operator="greaterThan">
      <formula>0</formula>
    </cfRule>
    <cfRule type="cellIs" dxfId="915" priority="2525" operator="lessThan">
      <formula>0</formula>
    </cfRule>
  </conditionalFormatting>
  <conditionalFormatting sqref="S108">
    <cfRule type="cellIs" dxfId="914" priority="2523" operator="lessThan">
      <formula>0</formula>
    </cfRule>
  </conditionalFormatting>
  <conditionalFormatting sqref="P108">
    <cfRule type="cellIs" dxfId="913" priority="2521" operator="equal">
      <formula>AS_DURATION_EFFORT</formula>
    </cfRule>
    <cfRule type="cellIs" dxfId="912" priority="2522" operator="equal">
      <formula>AS_DEV_EFFORT</formula>
    </cfRule>
  </conditionalFormatting>
  <conditionalFormatting sqref="F108">
    <cfRule type="expression" dxfId="911" priority="2520">
      <formula>$K108&lt;&gt;""</formula>
    </cfRule>
  </conditionalFormatting>
  <conditionalFormatting sqref="C108">
    <cfRule type="expression" dxfId="910" priority="2519">
      <formula>$G108&lt;&gt;"-"</formula>
    </cfRule>
  </conditionalFormatting>
  <conditionalFormatting sqref="D108">
    <cfRule type="expression" dxfId="909" priority="2518">
      <formula>$H108&lt;&gt;"-"</formula>
    </cfRule>
  </conditionalFormatting>
  <conditionalFormatting sqref="E108">
    <cfRule type="expression" dxfId="908" priority="2517">
      <formula>$I108&lt;&gt;"-"</formula>
    </cfRule>
  </conditionalFormatting>
  <conditionalFormatting sqref="S155">
    <cfRule type="expression" dxfId="907" priority="2504">
      <formula>#REF!="Yes"</formula>
    </cfRule>
  </conditionalFormatting>
  <conditionalFormatting sqref="B155">
    <cfRule type="expression" dxfId="906" priority="2503">
      <formula>AD155&lt;&gt;""</formula>
    </cfRule>
  </conditionalFormatting>
  <conditionalFormatting sqref="B163">
    <cfRule type="expression" dxfId="905" priority="2499">
      <formula>AD163&lt;&gt;""</formula>
    </cfRule>
  </conditionalFormatting>
  <conditionalFormatting sqref="Z163">
    <cfRule type="cellIs" dxfId="904" priority="2497" operator="greaterThan">
      <formula>0</formula>
    </cfRule>
    <cfRule type="cellIs" dxfId="903" priority="2498" operator="lessThan">
      <formula>0</formula>
    </cfRule>
  </conditionalFormatting>
  <conditionalFormatting sqref="S163">
    <cfRule type="cellIs" dxfId="902" priority="2496" operator="lessThan">
      <formula>0</formula>
    </cfRule>
  </conditionalFormatting>
  <conditionalFormatting sqref="T161:T162">
    <cfRule type="expression" dxfId="901" priority="2500">
      <formula>#REF!="Yes"</formula>
    </cfRule>
  </conditionalFormatting>
  <conditionalFormatting sqref="P163">
    <cfRule type="cellIs" dxfId="900" priority="2494" operator="equal">
      <formula>AS_DURATION_EFFORT</formula>
    </cfRule>
    <cfRule type="cellIs" dxfId="899" priority="2495" operator="equal">
      <formula>AS_DEV_EFFORT</formula>
    </cfRule>
  </conditionalFormatting>
  <conditionalFormatting sqref="B161:B162">
    <cfRule type="expression" dxfId="898" priority="2493">
      <formula>AD161&lt;&gt;""</formula>
    </cfRule>
  </conditionalFormatting>
  <conditionalFormatting sqref="F163">
    <cfRule type="expression" dxfId="897" priority="2492">
      <formula>$K163&lt;&gt;""</formula>
    </cfRule>
  </conditionalFormatting>
  <conditionalFormatting sqref="C163">
    <cfRule type="expression" dxfId="896" priority="2491">
      <formula>$G163&lt;&gt;"-"</formula>
    </cfRule>
  </conditionalFormatting>
  <conditionalFormatting sqref="D163">
    <cfRule type="expression" dxfId="895" priority="2490">
      <formula>$H163&lt;&gt;"-"</formula>
    </cfRule>
  </conditionalFormatting>
  <conditionalFormatting sqref="E163">
    <cfRule type="expression" dxfId="894" priority="2489">
      <formula>$I163&lt;&gt;"-"</formula>
    </cfRule>
  </conditionalFormatting>
  <conditionalFormatting sqref="B159">
    <cfRule type="expression" dxfId="893" priority="2486">
      <formula>AD159&lt;&gt;""</formula>
    </cfRule>
  </conditionalFormatting>
  <conditionalFormatting sqref="Z159">
    <cfRule type="cellIs" dxfId="892" priority="2484" operator="greaterThan">
      <formula>0</formula>
    </cfRule>
    <cfRule type="cellIs" dxfId="891" priority="2485" operator="lessThan">
      <formula>0</formula>
    </cfRule>
  </conditionalFormatting>
  <conditionalFormatting sqref="S159">
    <cfRule type="cellIs" dxfId="890" priority="2483" operator="lessThan">
      <formula>0</formula>
    </cfRule>
  </conditionalFormatting>
  <conditionalFormatting sqref="P159">
    <cfRule type="cellIs" dxfId="889" priority="2481" operator="equal">
      <formula>AS_DURATION_EFFORT</formula>
    </cfRule>
    <cfRule type="cellIs" dxfId="888" priority="2482" operator="equal">
      <formula>AS_DEV_EFFORT</formula>
    </cfRule>
  </conditionalFormatting>
  <conditionalFormatting sqref="F159">
    <cfRule type="expression" dxfId="887" priority="2480">
      <formula>$K159&lt;&gt;""</formula>
    </cfRule>
  </conditionalFormatting>
  <conditionalFormatting sqref="C159">
    <cfRule type="expression" dxfId="886" priority="2479">
      <formula>$G159&lt;&gt;"-"</formula>
    </cfRule>
  </conditionalFormatting>
  <conditionalFormatting sqref="D159">
    <cfRule type="expression" dxfId="885" priority="2478">
      <formula>$H159&lt;&gt;"-"</formula>
    </cfRule>
  </conditionalFormatting>
  <conditionalFormatting sqref="E159">
    <cfRule type="expression" dxfId="884" priority="2477">
      <formula>$I159&lt;&gt;"-"</formula>
    </cfRule>
  </conditionalFormatting>
  <conditionalFormatting sqref="B190">
    <cfRule type="expression" dxfId="883" priority="2469">
      <formula>AD190&lt;&gt;""</formula>
    </cfRule>
  </conditionalFormatting>
  <conditionalFormatting sqref="Z190">
    <cfRule type="cellIs" dxfId="882" priority="2467" operator="greaterThan">
      <formula>0</formula>
    </cfRule>
    <cfRule type="cellIs" dxfId="881" priority="2468" operator="lessThan">
      <formula>0</formula>
    </cfRule>
  </conditionalFormatting>
  <conditionalFormatting sqref="S190">
    <cfRule type="cellIs" dxfId="880" priority="2466" operator="lessThan">
      <formula>0</formula>
    </cfRule>
  </conditionalFormatting>
  <conditionalFormatting sqref="T188:T189">
    <cfRule type="expression" dxfId="879" priority="2470">
      <formula>#REF!="Yes"</formula>
    </cfRule>
  </conditionalFormatting>
  <conditionalFormatting sqref="P190">
    <cfRule type="cellIs" dxfId="878" priority="2464" operator="equal">
      <formula>AS_DURATION_EFFORT</formula>
    </cfRule>
    <cfRule type="cellIs" dxfId="877" priority="2465" operator="equal">
      <formula>AS_DEV_EFFORT</formula>
    </cfRule>
  </conditionalFormatting>
  <conditionalFormatting sqref="B188:B189">
    <cfRule type="expression" dxfId="876" priority="2463">
      <formula>AD188&lt;&gt;""</formula>
    </cfRule>
  </conditionalFormatting>
  <conditionalFormatting sqref="F190">
    <cfRule type="expression" dxfId="875" priority="2462">
      <formula>$K190&lt;&gt;""</formula>
    </cfRule>
  </conditionalFormatting>
  <conditionalFormatting sqref="C190">
    <cfRule type="expression" dxfId="874" priority="2461">
      <formula>$G190&lt;&gt;"-"</formula>
    </cfRule>
  </conditionalFormatting>
  <conditionalFormatting sqref="D190">
    <cfRule type="expression" dxfId="873" priority="2460">
      <formula>$H190&lt;&gt;"-"</formula>
    </cfRule>
  </conditionalFormatting>
  <conditionalFormatting sqref="E190">
    <cfRule type="expression" dxfId="872" priority="2459">
      <formula>$I190&lt;&gt;"-"</formula>
    </cfRule>
  </conditionalFormatting>
  <conditionalFormatting sqref="B191">
    <cfRule type="expression" dxfId="871" priority="2456">
      <formula>AD191&lt;&gt;""</formula>
    </cfRule>
  </conditionalFormatting>
  <conditionalFormatting sqref="Z191">
    <cfRule type="cellIs" dxfId="870" priority="2454" operator="greaterThan">
      <formula>0</formula>
    </cfRule>
    <cfRule type="cellIs" dxfId="869" priority="2455" operator="lessThan">
      <formula>0</formula>
    </cfRule>
  </conditionalFormatting>
  <conditionalFormatting sqref="S191">
    <cfRule type="cellIs" dxfId="868" priority="2453" operator="lessThan">
      <formula>0</formula>
    </cfRule>
  </conditionalFormatting>
  <conditionalFormatting sqref="F191">
    <cfRule type="expression" dxfId="867" priority="2450">
      <formula>$K191&lt;&gt;""</formula>
    </cfRule>
  </conditionalFormatting>
  <conditionalFormatting sqref="C191">
    <cfRule type="expression" dxfId="866" priority="2449">
      <formula>$G191&lt;&gt;"-"</formula>
    </cfRule>
  </conditionalFormatting>
  <conditionalFormatting sqref="D191">
    <cfRule type="expression" dxfId="865" priority="2448">
      <formula>$H191&lt;&gt;"-"</formula>
    </cfRule>
  </conditionalFormatting>
  <conditionalFormatting sqref="E191">
    <cfRule type="expression" dxfId="864" priority="2447">
      <formula>$I191&lt;&gt;"-"</formula>
    </cfRule>
  </conditionalFormatting>
  <conditionalFormatting sqref="B195">
    <cfRule type="expression" dxfId="863" priority="2443">
      <formula>AD195&lt;&gt;""</formula>
    </cfRule>
  </conditionalFormatting>
  <conditionalFormatting sqref="Z195">
    <cfRule type="cellIs" dxfId="862" priority="2441" operator="greaterThan">
      <formula>0</formula>
    </cfRule>
    <cfRule type="cellIs" dxfId="861" priority="2442" operator="lessThan">
      <formula>0</formula>
    </cfRule>
  </conditionalFormatting>
  <conditionalFormatting sqref="S195">
    <cfRule type="cellIs" dxfId="860" priority="2440" operator="lessThan">
      <formula>0</formula>
    </cfRule>
  </conditionalFormatting>
  <conditionalFormatting sqref="T193:T194">
    <cfRule type="expression" dxfId="859" priority="2444">
      <formula>#REF!="Yes"</formula>
    </cfRule>
  </conditionalFormatting>
  <conditionalFormatting sqref="P202">
    <cfRule type="cellIs" dxfId="858" priority="2380" operator="equal">
      <formula>AS_DURATION_EFFORT</formula>
    </cfRule>
    <cfRule type="cellIs" dxfId="857" priority="2381" operator="equal">
      <formula>AS_DEV_EFFORT</formula>
    </cfRule>
  </conditionalFormatting>
  <conditionalFormatting sqref="B193:B194">
    <cfRule type="expression" dxfId="856" priority="2437">
      <formula>AD193&lt;&gt;""</formula>
    </cfRule>
  </conditionalFormatting>
  <conditionalFormatting sqref="F195">
    <cfRule type="expression" dxfId="855" priority="2436">
      <formula>$K195&lt;&gt;""</formula>
    </cfRule>
  </conditionalFormatting>
  <conditionalFormatting sqref="C195">
    <cfRule type="expression" dxfId="854" priority="2435">
      <formula>$G195&lt;&gt;"-"</formula>
    </cfRule>
  </conditionalFormatting>
  <conditionalFormatting sqref="D195">
    <cfRule type="expression" dxfId="853" priority="2434">
      <formula>$H195&lt;&gt;"-"</formula>
    </cfRule>
  </conditionalFormatting>
  <conditionalFormatting sqref="E195">
    <cfRule type="expression" dxfId="852" priority="2433">
      <formula>$I195&lt;&gt;"-"</formula>
    </cfRule>
  </conditionalFormatting>
  <conditionalFormatting sqref="B196">
    <cfRule type="expression" dxfId="851" priority="2430">
      <formula>AD196&lt;&gt;""</formula>
    </cfRule>
  </conditionalFormatting>
  <conditionalFormatting sqref="Z196">
    <cfRule type="cellIs" dxfId="850" priority="2428" operator="greaterThan">
      <formula>0</formula>
    </cfRule>
    <cfRule type="cellIs" dxfId="849" priority="2429" operator="lessThan">
      <formula>0</formula>
    </cfRule>
  </conditionalFormatting>
  <conditionalFormatting sqref="S196">
    <cfRule type="cellIs" dxfId="848" priority="2427" operator="lessThan">
      <formula>0</formula>
    </cfRule>
  </conditionalFormatting>
  <conditionalFormatting sqref="P197">
    <cfRule type="cellIs" dxfId="847" priority="2391" operator="equal">
      <formula>AS_DURATION_EFFORT</formula>
    </cfRule>
    <cfRule type="cellIs" dxfId="846" priority="2392" operator="equal">
      <formula>AS_DEV_EFFORT</formula>
    </cfRule>
  </conditionalFormatting>
  <conditionalFormatting sqref="F196">
    <cfRule type="expression" dxfId="845" priority="2424">
      <formula>$K196&lt;&gt;""</formula>
    </cfRule>
  </conditionalFormatting>
  <conditionalFormatting sqref="C196">
    <cfRule type="expression" dxfId="844" priority="2423">
      <formula>$G196&lt;&gt;"-"</formula>
    </cfRule>
  </conditionalFormatting>
  <conditionalFormatting sqref="D196">
    <cfRule type="expression" dxfId="843" priority="2422">
      <formula>$H196&lt;&gt;"-"</formula>
    </cfRule>
  </conditionalFormatting>
  <conditionalFormatting sqref="E196">
    <cfRule type="expression" dxfId="842" priority="2421">
      <formula>$I196&lt;&gt;"-"</formula>
    </cfRule>
  </conditionalFormatting>
  <conditionalFormatting sqref="B198">
    <cfRule type="expression" dxfId="841" priority="2418">
      <formula>AD198&lt;&gt;""</formula>
    </cfRule>
  </conditionalFormatting>
  <conditionalFormatting sqref="Z198">
    <cfRule type="cellIs" dxfId="840" priority="2416" operator="greaterThan">
      <formula>0</formula>
    </cfRule>
    <cfRule type="cellIs" dxfId="839" priority="2417" operator="lessThan">
      <formula>0</formula>
    </cfRule>
  </conditionalFormatting>
  <conditionalFormatting sqref="S198">
    <cfRule type="cellIs" dxfId="838" priority="2415" operator="lessThan">
      <formula>0</formula>
    </cfRule>
  </conditionalFormatting>
  <conditionalFormatting sqref="P198">
    <cfRule type="cellIs" dxfId="837" priority="2413" operator="equal">
      <formula>AS_DURATION_EFFORT</formula>
    </cfRule>
    <cfRule type="cellIs" dxfId="836" priority="2414" operator="equal">
      <formula>AS_DEV_EFFORT</formula>
    </cfRule>
  </conditionalFormatting>
  <conditionalFormatting sqref="F198">
    <cfRule type="expression" dxfId="835" priority="2412">
      <formula>$K198&lt;&gt;""</formula>
    </cfRule>
  </conditionalFormatting>
  <conditionalFormatting sqref="C198">
    <cfRule type="expression" dxfId="834" priority="2411">
      <formula>$G198&lt;&gt;"-"</formula>
    </cfRule>
  </conditionalFormatting>
  <conditionalFormatting sqref="D198">
    <cfRule type="expression" dxfId="833" priority="2410">
      <formula>$H198&lt;&gt;"-"</formula>
    </cfRule>
  </conditionalFormatting>
  <conditionalFormatting sqref="E198">
    <cfRule type="expression" dxfId="832" priority="2409">
      <formula>$I198&lt;&gt;"-"</formula>
    </cfRule>
  </conditionalFormatting>
  <conditionalFormatting sqref="B197">
    <cfRule type="expression" dxfId="831" priority="2406">
      <formula>AD197&lt;&gt;""</formula>
    </cfRule>
  </conditionalFormatting>
  <conditionalFormatting sqref="Z197">
    <cfRule type="cellIs" dxfId="830" priority="2404" operator="greaterThan">
      <formula>0</formula>
    </cfRule>
    <cfRule type="cellIs" dxfId="829" priority="2405" operator="lessThan">
      <formula>0</formula>
    </cfRule>
  </conditionalFormatting>
  <conditionalFormatting sqref="S197">
    <cfRule type="cellIs" dxfId="828" priority="2403" operator="lessThan">
      <formula>0</formula>
    </cfRule>
  </conditionalFormatting>
  <conditionalFormatting sqref="P195">
    <cfRule type="cellIs" dxfId="827" priority="2393" operator="equal">
      <formula>AS_DURATION_EFFORT</formula>
    </cfRule>
    <cfRule type="cellIs" dxfId="826" priority="2394" operator="equal">
      <formula>AS_DEV_EFFORT</formula>
    </cfRule>
  </conditionalFormatting>
  <conditionalFormatting sqref="F197">
    <cfRule type="expression" dxfId="825" priority="2400">
      <formula>$K197&lt;&gt;""</formula>
    </cfRule>
  </conditionalFormatting>
  <conditionalFormatting sqref="C197">
    <cfRule type="expression" dxfId="824" priority="2399">
      <formula>$G197&lt;&gt;"-"</formula>
    </cfRule>
  </conditionalFormatting>
  <conditionalFormatting sqref="D197">
    <cfRule type="expression" dxfId="823" priority="2398">
      <formula>$H197&lt;&gt;"-"</formula>
    </cfRule>
  </conditionalFormatting>
  <conditionalFormatting sqref="E197">
    <cfRule type="expression" dxfId="822" priority="2397">
      <formula>$I197&lt;&gt;"-"</formula>
    </cfRule>
  </conditionalFormatting>
  <conditionalFormatting sqref="P205">
    <cfRule type="cellIs" dxfId="821" priority="2367" operator="equal">
      <formula>AS_DURATION_EFFORT</formula>
    </cfRule>
    <cfRule type="cellIs" dxfId="820" priority="2368" operator="equal">
      <formula>AS_DEV_EFFORT</formula>
    </cfRule>
  </conditionalFormatting>
  <conditionalFormatting sqref="P196:P197">
    <cfRule type="cellIs" dxfId="819" priority="2389" operator="equal">
      <formula>AS_DURATION_EFFORT</formula>
    </cfRule>
    <cfRule type="cellIs" dxfId="818" priority="2390" operator="equal">
      <formula>AS_DEV_EFFORT</formula>
    </cfRule>
  </conditionalFormatting>
  <conditionalFormatting sqref="B202">
    <cfRule type="expression" dxfId="817" priority="2385">
      <formula>AD202&lt;&gt;""</formula>
    </cfRule>
  </conditionalFormatting>
  <conditionalFormatting sqref="Z202">
    <cfRule type="cellIs" dxfId="816" priority="2383" operator="greaterThan">
      <formula>0</formula>
    </cfRule>
    <cfRule type="cellIs" dxfId="815" priority="2384" operator="lessThan">
      <formula>0</formula>
    </cfRule>
  </conditionalFormatting>
  <conditionalFormatting sqref="S202">
    <cfRule type="cellIs" dxfId="814" priority="2382" operator="lessThan">
      <formula>0</formula>
    </cfRule>
  </conditionalFormatting>
  <conditionalFormatting sqref="T200:T201">
    <cfRule type="expression" dxfId="813" priority="2386">
      <formula>#REF!="Yes"</formula>
    </cfRule>
  </conditionalFormatting>
  <conditionalFormatting sqref="B200:B201">
    <cfRule type="expression" dxfId="812" priority="2379">
      <formula>AD200&lt;&gt;""</formula>
    </cfRule>
  </conditionalFormatting>
  <conditionalFormatting sqref="F202">
    <cfRule type="expression" dxfId="811" priority="2378">
      <formula>$K202&lt;&gt;""</formula>
    </cfRule>
  </conditionalFormatting>
  <conditionalFormatting sqref="C202">
    <cfRule type="expression" dxfId="810" priority="2377">
      <formula>$G202&lt;&gt;"-"</formula>
    </cfRule>
  </conditionalFormatting>
  <conditionalFormatting sqref="D202">
    <cfRule type="expression" dxfId="809" priority="2376">
      <formula>$H202&lt;&gt;"-"</formula>
    </cfRule>
  </conditionalFormatting>
  <conditionalFormatting sqref="E202">
    <cfRule type="expression" dxfId="808" priority="2375">
      <formula>$I202&lt;&gt;"-"</formula>
    </cfRule>
  </conditionalFormatting>
  <conditionalFormatting sqref="B205">
    <cfRule type="expression" dxfId="807" priority="2372">
      <formula>AD205&lt;&gt;""</formula>
    </cfRule>
  </conditionalFormatting>
  <conditionalFormatting sqref="Z205">
    <cfRule type="cellIs" dxfId="806" priority="2370" operator="greaterThan">
      <formula>0</formula>
    </cfRule>
    <cfRule type="cellIs" dxfId="805" priority="2371" operator="lessThan">
      <formula>0</formula>
    </cfRule>
  </conditionalFormatting>
  <conditionalFormatting sqref="S205">
    <cfRule type="cellIs" dxfId="804" priority="2369" operator="lessThan">
      <formula>0</formula>
    </cfRule>
  </conditionalFormatting>
  <conditionalFormatting sqref="P204">
    <cfRule type="cellIs" dxfId="803" priority="2355" operator="equal">
      <formula>AS_DURATION_EFFORT</formula>
    </cfRule>
    <cfRule type="cellIs" dxfId="802" priority="2356" operator="equal">
      <formula>AS_DEV_EFFORT</formula>
    </cfRule>
  </conditionalFormatting>
  <conditionalFormatting sqref="F205">
    <cfRule type="expression" dxfId="801" priority="2366">
      <formula>$K205&lt;&gt;""</formula>
    </cfRule>
  </conditionalFormatting>
  <conditionalFormatting sqref="C205">
    <cfRule type="expression" dxfId="800" priority="2365">
      <formula>$G205&lt;&gt;"-"</formula>
    </cfRule>
  </conditionalFormatting>
  <conditionalFormatting sqref="D205">
    <cfRule type="expression" dxfId="799" priority="2364">
      <formula>$H205&lt;&gt;"-"</formula>
    </cfRule>
  </conditionalFormatting>
  <conditionalFormatting sqref="E205">
    <cfRule type="expression" dxfId="798" priority="2363">
      <formula>$I205&lt;&gt;"-"</formula>
    </cfRule>
  </conditionalFormatting>
  <conditionalFormatting sqref="B204">
    <cfRule type="expression" dxfId="797" priority="2360">
      <formula>AD204&lt;&gt;""</formula>
    </cfRule>
  </conditionalFormatting>
  <conditionalFormatting sqref="Z204">
    <cfRule type="cellIs" dxfId="796" priority="2358" operator="greaterThan">
      <formula>0</formula>
    </cfRule>
    <cfRule type="cellIs" dxfId="795" priority="2359" operator="lessThan">
      <formula>0</formula>
    </cfRule>
  </conditionalFormatting>
  <conditionalFormatting sqref="S204">
    <cfRule type="cellIs" dxfId="794" priority="2357" operator="lessThan">
      <formula>0</formula>
    </cfRule>
  </conditionalFormatting>
  <conditionalFormatting sqref="P203">
    <cfRule type="cellIs" dxfId="793" priority="2343" operator="equal">
      <formula>AS_DURATION_EFFORT</formula>
    </cfRule>
    <cfRule type="cellIs" dxfId="792" priority="2344" operator="equal">
      <formula>AS_DEV_EFFORT</formula>
    </cfRule>
  </conditionalFormatting>
  <conditionalFormatting sqref="F204">
    <cfRule type="expression" dxfId="791" priority="2354">
      <formula>$K204&lt;&gt;""</formula>
    </cfRule>
  </conditionalFormatting>
  <conditionalFormatting sqref="C204">
    <cfRule type="expression" dxfId="790" priority="2353">
      <formula>$G204&lt;&gt;"-"</formula>
    </cfRule>
  </conditionalFormatting>
  <conditionalFormatting sqref="D204">
    <cfRule type="expression" dxfId="789" priority="2352">
      <formula>$H204&lt;&gt;"-"</formula>
    </cfRule>
  </conditionalFormatting>
  <conditionalFormatting sqref="E204">
    <cfRule type="expression" dxfId="788" priority="2351">
      <formula>$I204&lt;&gt;"-"</formula>
    </cfRule>
  </conditionalFormatting>
  <conditionalFormatting sqref="B203">
    <cfRule type="expression" dxfId="787" priority="2348">
      <formula>AD203&lt;&gt;""</formula>
    </cfRule>
  </conditionalFormatting>
  <conditionalFormatting sqref="Z203">
    <cfRule type="cellIs" dxfId="786" priority="2346" operator="greaterThan">
      <formula>0</formula>
    </cfRule>
    <cfRule type="cellIs" dxfId="785" priority="2347" operator="lessThan">
      <formula>0</formula>
    </cfRule>
  </conditionalFormatting>
  <conditionalFormatting sqref="S203">
    <cfRule type="cellIs" dxfId="784" priority="2345" operator="lessThan">
      <formula>0</formula>
    </cfRule>
  </conditionalFormatting>
  <conditionalFormatting sqref="F203">
    <cfRule type="expression" dxfId="783" priority="2342">
      <formula>$K203&lt;&gt;""</formula>
    </cfRule>
  </conditionalFormatting>
  <conditionalFormatting sqref="C203">
    <cfRule type="expression" dxfId="782" priority="2341">
      <formula>$G203&lt;&gt;"-"</formula>
    </cfRule>
  </conditionalFormatting>
  <conditionalFormatting sqref="D203">
    <cfRule type="expression" dxfId="781" priority="2340">
      <formula>$H203&lt;&gt;"-"</formula>
    </cfRule>
  </conditionalFormatting>
  <conditionalFormatting sqref="E203">
    <cfRule type="expression" dxfId="780" priority="2339">
      <formula>$I203&lt;&gt;"-"</formula>
    </cfRule>
  </conditionalFormatting>
  <conditionalFormatting sqref="B214">
    <cfRule type="expression" dxfId="779" priority="2307">
      <formula>AD214&lt;&gt;""</formula>
    </cfRule>
  </conditionalFormatting>
  <conditionalFormatting sqref="Z214">
    <cfRule type="cellIs" dxfId="778" priority="2305" operator="greaterThan">
      <formula>0</formula>
    </cfRule>
    <cfRule type="cellIs" dxfId="777" priority="2306" operator="lessThan">
      <formula>0</formula>
    </cfRule>
  </conditionalFormatting>
  <conditionalFormatting sqref="S214">
    <cfRule type="cellIs" dxfId="776" priority="2304" operator="lessThan">
      <formula>0</formula>
    </cfRule>
  </conditionalFormatting>
  <conditionalFormatting sqref="T212:T213">
    <cfRule type="expression" dxfId="775" priority="2308">
      <formula>#REF!="Yes"</formula>
    </cfRule>
  </conditionalFormatting>
  <conditionalFormatting sqref="P214">
    <cfRule type="cellIs" dxfId="774" priority="2302" operator="equal">
      <formula>AS_DURATION_EFFORT</formula>
    </cfRule>
    <cfRule type="cellIs" dxfId="773" priority="2303" operator="equal">
      <formula>AS_DEV_EFFORT</formula>
    </cfRule>
  </conditionalFormatting>
  <conditionalFormatting sqref="B212:B213">
    <cfRule type="expression" dxfId="772" priority="2301">
      <formula>AD212&lt;&gt;""</formula>
    </cfRule>
  </conditionalFormatting>
  <conditionalFormatting sqref="F214">
    <cfRule type="expression" dxfId="771" priority="2300">
      <formula>$K214&lt;&gt;""</formula>
    </cfRule>
  </conditionalFormatting>
  <conditionalFormatting sqref="C214">
    <cfRule type="expression" dxfId="770" priority="2299">
      <formula>$G214&lt;&gt;"-"</formula>
    </cfRule>
  </conditionalFormatting>
  <conditionalFormatting sqref="D214">
    <cfRule type="expression" dxfId="769" priority="2298">
      <formula>$H214&lt;&gt;"-"</formula>
    </cfRule>
  </conditionalFormatting>
  <conditionalFormatting sqref="E214">
    <cfRule type="expression" dxfId="768" priority="2297">
      <formula>$I214&lt;&gt;"-"</formula>
    </cfRule>
  </conditionalFormatting>
  <conditionalFormatting sqref="B215">
    <cfRule type="expression" dxfId="767" priority="2294">
      <formula>AD215&lt;&gt;""</formula>
    </cfRule>
  </conditionalFormatting>
  <conditionalFormatting sqref="Z215">
    <cfRule type="cellIs" dxfId="766" priority="2292" operator="greaterThan">
      <formula>0</formula>
    </cfRule>
    <cfRule type="cellIs" dxfId="765" priority="2293" operator="lessThan">
      <formula>0</formula>
    </cfRule>
  </conditionalFormatting>
  <conditionalFormatting sqref="S215">
    <cfRule type="cellIs" dxfId="764" priority="2291" operator="lessThan">
      <formula>0</formula>
    </cfRule>
  </conditionalFormatting>
  <conditionalFormatting sqref="P215">
    <cfRule type="cellIs" dxfId="763" priority="2289" operator="equal">
      <formula>AS_DURATION_EFFORT</formula>
    </cfRule>
    <cfRule type="cellIs" dxfId="762" priority="2290" operator="equal">
      <formula>AS_DEV_EFFORT</formula>
    </cfRule>
  </conditionalFormatting>
  <conditionalFormatting sqref="F215">
    <cfRule type="expression" dxfId="761" priority="2288">
      <formula>$K215&lt;&gt;""</formula>
    </cfRule>
  </conditionalFormatting>
  <conditionalFormatting sqref="C215">
    <cfRule type="expression" dxfId="760" priority="2287">
      <formula>$G215&lt;&gt;"-"</formula>
    </cfRule>
  </conditionalFormatting>
  <conditionalFormatting sqref="D215">
    <cfRule type="expression" dxfId="759" priority="2286">
      <formula>$H215&lt;&gt;"-"</formula>
    </cfRule>
  </conditionalFormatting>
  <conditionalFormatting sqref="E215">
    <cfRule type="expression" dxfId="758" priority="2285">
      <formula>$I215&lt;&gt;"-"</formula>
    </cfRule>
  </conditionalFormatting>
  <conditionalFormatting sqref="B219">
    <cfRule type="expression" dxfId="757" priority="2281">
      <formula>AD219&lt;&gt;""</formula>
    </cfRule>
  </conditionalFormatting>
  <conditionalFormatting sqref="Z219">
    <cfRule type="cellIs" dxfId="756" priority="2279" operator="greaterThan">
      <formula>0</formula>
    </cfRule>
    <cfRule type="cellIs" dxfId="755" priority="2280" operator="lessThan">
      <formula>0</formula>
    </cfRule>
  </conditionalFormatting>
  <conditionalFormatting sqref="S219">
    <cfRule type="cellIs" dxfId="754" priority="2278" operator="lessThan">
      <formula>0</formula>
    </cfRule>
  </conditionalFormatting>
  <conditionalFormatting sqref="T217:T218">
    <cfRule type="expression" dxfId="753" priority="2282">
      <formula>#REF!="Yes"</formula>
    </cfRule>
  </conditionalFormatting>
  <conditionalFormatting sqref="P219">
    <cfRule type="cellIs" dxfId="752" priority="2276" operator="equal">
      <formula>AS_DURATION_EFFORT</formula>
    </cfRule>
    <cfRule type="cellIs" dxfId="751" priority="2277" operator="equal">
      <formula>AS_DEV_EFFORT</formula>
    </cfRule>
  </conditionalFormatting>
  <conditionalFormatting sqref="B217:B218">
    <cfRule type="expression" dxfId="750" priority="2275">
      <formula>AD217&lt;&gt;""</formula>
    </cfRule>
  </conditionalFormatting>
  <conditionalFormatting sqref="F219">
    <cfRule type="expression" dxfId="749" priority="2274">
      <formula>$K219&lt;&gt;""</formula>
    </cfRule>
  </conditionalFormatting>
  <conditionalFormatting sqref="C219">
    <cfRule type="expression" dxfId="748" priority="2273">
      <formula>$G219&lt;&gt;"-"</formula>
    </cfRule>
  </conditionalFormatting>
  <conditionalFormatting sqref="D219">
    <cfRule type="expression" dxfId="747" priority="2272">
      <formula>$H219&lt;&gt;"-"</formula>
    </cfRule>
  </conditionalFormatting>
  <conditionalFormatting sqref="E219">
    <cfRule type="expression" dxfId="746" priority="2271">
      <formula>$I219&lt;&gt;"-"</formula>
    </cfRule>
  </conditionalFormatting>
  <conditionalFormatting sqref="B223">
    <cfRule type="expression" dxfId="745" priority="2243">
      <formula>AD223&lt;&gt;""</formula>
    </cfRule>
  </conditionalFormatting>
  <conditionalFormatting sqref="Z223">
    <cfRule type="cellIs" dxfId="744" priority="2241" operator="greaterThan">
      <formula>0</formula>
    </cfRule>
    <cfRule type="cellIs" dxfId="743" priority="2242" operator="lessThan">
      <formula>0</formula>
    </cfRule>
  </conditionalFormatting>
  <conditionalFormatting sqref="S223">
    <cfRule type="cellIs" dxfId="742" priority="2240" operator="lessThan">
      <formula>0</formula>
    </cfRule>
  </conditionalFormatting>
  <conditionalFormatting sqref="T221:T222">
    <cfRule type="expression" dxfId="741" priority="2244">
      <formula>#REF!="Yes"</formula>
    </cfRule>
  </conditionalFormatting>
  <conditionalFormatting sqref="P223">
    <cfRule type="cellIs" dxfId="740" priority="2238" operator="equal">
      <formula>AS_DURATION_EFFORT</formula>
    </cfRule>
    <cfRule type="cellIs" dxfId="739" priority="2239" operator="equal">
      <formula>AS_DEV_EFFORT</formula>
    </cfRule>
  </conditionalFormatting>
  <conditionalFormatting sqref="B221:B222">
    <cfRule type="expression" dxfId="738" priority="2237">
      <formula>AD221&lt;&gt;""</formula>
    </cfRule>
  </conditionalFormatting>
  <conditionalFormatting sqref="F223">
    <cfRule type="expression" dxfId="737" priority="2236">
      <formula>$K223&lt;&gt;""</formula>
    </cfRule>
  </conditionalFormatting>
  <conditionalFormatting sqref="C223">
    <cfRule type="expression" dxfId="736" priority="2235">
      <formula>$G223&lt;&gt;"-"</formula>
    </cfRule>
  </conditionalFormatting>
  <conditionalFormatting sqref="D223">
    <cfRule type="expression" dxfId="735" priority="2234">
      <formula>$H223&lt;&gt;"-"</formula>
    </cfRule>
  </conditionalFormatting>
  <conditionalFormatting sqref="E223">
    <cfRule type="expression" dxfId="734" priority="2233">
      <formula>$I223&lt;&gt;"-"</formula>
    </cfRule>
  </conditionalFormatting>
  <conditionalFormatting sqref="B227">
    <cfRule type="expression" dxfId="733" priority="2217">
      <formula>AD227&lt;&gt;""</formula>
    </cfRule>
  </conditionalFormatting>
  <conditionalFormatting sqref="Z227">
    <cfRule type="cellIs" dxfId="732" priority="2215" operator="greaterThan">
      <formula>0</formula>
    </cfRule>
    <cfRule type="cellIs" dxfId="731" priority="2216" operator="lessThan">
      <formula>0</formula>
    </cfRule>
  </conditionalFormatting>
  <conditionalFormatting sqref="S227">
    <cfRule type="cellIs" dxfId="730" priority="2214" operator="lessThan">
      <formula>0</formula>
    </cfRule>
  </conditionalFormatting>
  <conditionalFormatting sqref="T225:T226">
    <cfRule type="expression" dxfId="729" priority="2218">
      <formula>#REF!="Yes"</formula>
    </cfRule>
  </conditionalFormatting>
  <conditionalFormatting sqref="P227">
    <cfRule type="cellIs" dxfId="728" priority="2212" operator="equal">
      <formula>AS_DURATION_EFFORT</formula>
    </cfRule>
    <cfRule type="cellIs" dxfId="727" priority="2213" operator="equal">
      <formula>AS_DEV_EFFORT</formula>
    </cfRule>
  </conditionalFormatting>
  <conditionalFormatting sqref="B225:B226">
    <cfRule type="expression" dxfId="726" priority="2211">
      <formula>AD225&lt;&gt;""</formula>
    </cfRule>
  </conditionalFormatting>
  <conditionalFormatting sqref="F227">
    <cfRule type="expression" dxfId="725" priority="2210">
      <formula>$K227&lt;&gt;""</formula>
    </cfRule>
  </conditionalFormatting>
  <conditionalFormatting sqref="C227">
    <cfRule type="expression" dxfId="724" priority="2209">
      <formula>$G227&lt;&gt;"-"</formula>
    </cfRule>
  </conditionalFormatting>
  <conditionalFormatting sqref="D227">
    <cfRule type="expression" dxfId="723" priority="2208">
      <formula>$H227&lt;&gt;"-"</formula>
    </cfRule>
  </conditionalFormatting>
  <conditionalFormatting sqref="E227">
    <cfRule type="expression" dxfId="722" priority="2207">
      <formula>$I227&lt;&gt;"-"</formula>
    </cfRule>
  </conditionalFormatting>
  <conditionalFormatting sqref="B230">
    <cfRule type="expression" dxfId="721" priority="2204">
      <formula>AD230&lt;&gt;""</formula>
    </cfRule>
  </conditionalFormatting>
  <conditionalFormatting sqref="Z230">
    <cfRule type="cellIs" dxfId="720" priority="2202" operator="greaterThan">
      <formula>0</formula>
    </cfRule>
    <cfRule type="cellIs" dxfId="719" priority="2203" operator="lessThan">
      <formula>0</formula>
    </cfRule>
  </conditionalFormatting>
  <conditionalFormatting sqref="S230">
    <cfRule type="cellIs" dxfId="718" priority="2201" operator="lessThan">
      <formula>0</formula>
    </cfRule>
  </conditionalFormatting>
  <conditionalFormatting sqref="P230">
    <cfRule type="cellIs" dxfId="717" priority="2199" operator="equal">
      <formula>AS_DURATION_EFFORT</formula>
    </cfRule>
    <cfRule type="cellIs" dxfId="716" priority="2200" operator="equal">
      <formula>AS_DEV_EFFORT</formula>
    </cfRule>
  </conditionalFormatting>
  <conditionalFormatting sqref="F230">
    <cfRule type="expression" dxfId="715" priority="2198">
      <formula>$K230&lt;&gt;""</formula>
    </cfRule>
  </conditionalFormatting>
  <conditionalFormatting sqref="C230">
    <cfRule type="expression" dxfId="714" priority="2197">
      <formula>$G230&lt;&gt;"-"</formula>
    </cfRule>
  </conditionalFormatting>
  <conditionalFormatting sqref="D230">
    <cfRule type="expression" dxfId="713" priority="2196">
      <formula>$H230&lt;&gt;"-"</formula>
    </cfRule>
  </conditionalFormatting>
  <conditionalFormatting sqref="E230">
    <cfRule type="expression" dxfId="712" priority="2195">
      <formula>$I230&lt;&gt;"-"</formula>
    </cfRule>
  </conditionalFormatting>
  <conditionalFormatting sqref="B229">
    <cfRule type="expression" dxfId="711" priority="2192">
      <formula>AD229&lt;&gt;""</formula>
    </cfRule>
  </conditionalFormatting>
  <conditionalFormatting sqref="Z229">
    <cfRule type="cellIs" dxfId="710" priority="2190" operator="greaterThan">
      <formula>0</formula>
    </cfRule>
    <cfRule type="cellIs" dxfId="709" priority="2191" operator="lessThan">
      <formula>0</formula>
    </cfRule>
  </conditionalFormatting>
  <conditionalFormatting sqref="S229">
    <cfRule type="cellIs" dxfId="708" priority="2189" operator="lessThan">
      <formula>0</formula>
    </cfRule>
  </conditionalFormatting>
  <conditionalFormatting sqref="P229">
    <cfRule type="cellIs" dxfId="707" priority="2187" operator="equal">
      <formula>AS_DURATION_EFFORT</formula>
    </cfRule>
    <cfRule type="cellIs" dxfId="706" priority="2188" operator="equal">
      <formula>AS_DEV_EFFORT</formula>
    </cfRule>
  </conditionalFormatting>
  <conditionalFormatting sqref="F229">
    <cfRule type="expression" dxfId="705" priority="2186">
      <formula>$K229&lt;&gt;""</formula>
    </cfRule>
  </conditionalFormatting>
  <conditionalFormatting sqref="C229">
    <cfRule type="expression" dxfId="704" priority="2185">
      <formula>$G229&lt;&gt;"-"</formula>
    </cfRule>
  </conditionalFormatting>
  <conditionalFormatting sqref="D229">
    <cfRule type="expression" dxfId="703" priority="2184">
      <formula>$H229&lt;&gt;"-"</formula>
    </cfRule>
  </conditionalFormatting>
  <conditionalFormatting sqref="E229">
    <cfRule type="expression" dxfId="702" priority="2183">
      <formula>$I229&lt;&gt;"-"</formula>
    </cfRule>
  </conditionalFormatting>
  <conditionalFormatting sqref="B228">
    <cfRule type="expression" dxfId="701" priority="2180">
      <formula>AD228&lt;&gt;""</formula>
    </cfRule>
  </conditionalFormatting>
  <conditionalFormatting sqref="Z228">
    <cfRule type="cellIs" dxfId="700" priority="2178" operator="greaterThan">
      <formula>0</formula>
    </cfRule>
    <cfRule type="cellIs" dxfId="699" priority="2179" operator="lessThan">
      <formula>0</formula>
    </cfRule>
  </conditionalFormatting>
  <conditionalFormatting sqref="S228">
    <cfRule type="cellIs" dxfId="698" priority="2177" operator="lessThan">
      <formula>0</formula>
    </cfRule>
  </conditionalFormatting>
  <conditionalFormatting sqref="P228">
    <cfRule type="cellIs" dxfId="697" priority="2175" operator="equal">
      <formula>AS_DURATION_EFFORT</formula>
    </cfRule>
    <cfRule type="cellIs" dxfId="696" priority="2176" operator="equal">
      <formula>AS_DEV_EFFORT</formula>
    </cfRule>
  </conditionalFormatting>
  <conditionalFormatting sqref="F228">
    <cfRule type="expression" dxfId="695" priority="2174">
      <formula>$K228&lt;&gt;""</formula>
    </cfRule>
  </conditionalFormatting>
  <conditionalFormatting sqref="C228">
    <cfRule type="expression" dxfId="694" priority="2173">
      <formula>$G228&lt;&gt;"-"</formula>
    </cfRule>
  </conditionalFormatting>
  <conditionalFormatting sqref="D228">
    <cfRule type="expression" dxfId="693" priority="2172">
      <formula>$H228&lt;&gt;"-"</formula>
    </cfRule>
  </conditionalFormatting>
  <conditionalFormatting sqref="E228">
    <cfRule type="expression" dxfId="692" priority="2171">
      <formula>$I228&lt;&gt;"-"</formula>
    </cfRule>
  </conditionalFormatting>
  <conditionalFormatting sqref="B237">
    <cfRule type="expression" dxfId="691" priority="2161">
      <formula>AD237&lt;&gt;""</formula>
    </cfRule>
  </conditionalFormatting>
  <conditionalFormatting sqref="Z237">
    <cfRule type="cellIs" dxfId="690" priority="2159" operator="greaterThan">
      <formula>0</formula>
    </cfRule>
    <cfRule type="cellIs" dxfId="689" priority="2160" operator="lessThan">
      <formula>0</formula>
    </cfRule>
  </conditionalFormatting>
  <conditionalFormatting sqref="S237">
    <cfRule type="cellIs" dxfId="688" priority="2158" operator="lessThan">
      <formula>0</formula>
    </cfRule>
  </conditionalFormatting>
  <conditionalFormatting sqref="T235:T236">
    <cfRule type="expression" dxfId="687" priority="2162">
      <formula>#REF!="Yes"</formula>
    </cfRule>
  </conditionalFormatting>
  <conditionalFormatting sqref="P237">
    <cfRule type="cellIs" dxfId="686" priority="2156" operator="equal">
      <formula>AS_DURATION_EFFORT</formula>
    </cfRule>
    <cfRule type="cellIs" dxfId="685" priority="2157" operator="equal">
      <formula>AS_DEV_EFFORT</formula>
    </cfRule>
  </conditionalFormatting>
  <conditionalFormatting sqref="B235:B236">
    <cfRule type="expression" dxfId="684" priority="2155">
      <formula>AD235&lt;&gt;""</formula>
    </cfRule>
  </conditionalFormatting>
  <conditionalFormatting sqref="F237">
    <cfRule type="expression" dxfId="683" priority="2154">
      <formula>$K237&lt;&gt;""</formula>
    </cfRule>
  </conditionalFormatting>
  <conditionalFormatting sqref="C237">
    <cfRule type="expression" dxfId="682" priority="2153">
      <formula>$G237&lt;&gt;"-"</formula>
    </cfRule>
  </conditionalFormatting>
  <conditionalFormatting sqref="D237">
    <cfRule type="expression" dxfId="681" priority="2152">
      <formula>$H237&lt;&gt;"-"</formula>
    </cfRule>
  </conditionalFormatting>
  <conditionalFormatting sqref="E237">
    <cfRule type="expression" dxfId="680" priority="2151">
      <formula>$I237&lt;&gt;"-"</formula>
    </cfRule>
  </conditionalFormatting>
  <conditionalFormatting sqref="B18">
    <cfRule type="expression" dxfId="679" priority="1208">
      <formula>AD18&lt;&gt;""</formula>
    </cfRule>
  </conditionalFormatting>
  <conditionalFormatting sqref="Z18">
    <cfRule type="cellIs" dxfId="678" priority="1206" operator="greaterThan">
      <formula>0</formula>
    </cfRule>
    <cfRule type="cellIs" dxfId="677" priority="1207" operator="lessThan">
      <formula>0</formula>
    </cfRule>
  </conditionalFormatting>
  <conditionalFormatting sqref="S18">
    <cfRule type="cellIs" dxfId="676" priority="1205" operator="lessThan">
      <formula>0</formula>
    </cfRule>
  </conditionalFormatting>
  <conditionalFormatting sqref="L18:M18 O18 R18:AC18">
    <cfRule type="expression" dxfId="675" priority="1209">
      <formula>AND($G18="Yes", $S$6="Exclude")</formula>
    </cfRule>
    <cfRule type="expression" dxfId="674" priority="1210">
      <formula>$J18="Yes"</formula>
    </cfRule>
  </conditionalFormatting>
  <conditionalFormatting sqref="F18">
    <cfRule type="expression" dxfId="673" priority="1202">
      <formula>$K18&lt;&gt;""</formula>
    </cfRule>
  </conditionalFormatting>
  <conditionalFormatting sqref="C18">
    <cfRule type="expression" dxfId="672" priority="1201">
      <formula>$G18&lt;&gt;"-"</formula>
    </cfRule>
  </conditionalFormatting>
  <conditionalFormatting sqref="D18">
    <cfRule type="expression" dxfId="671" priority="1200">
      <formula>$H18&lt;&gt;"-"</formula>
    </cfRule>
  </conditionalFormatting>
  <conditionalFormatting sqref="E18">
    <cfRule type="expression" dxfId="670" priority="1199">
      <formula>$I18&lt;&gt;"-"</formula>
    </cfRule>
  </conditionalFormatting>
  <conditionalFormatting sqref="B28">
    <cfRule type="expression" dxfId="669" priority="1195">
      <formula>AD28&lt;&gt;""</formula>
    </cfRule>
  </conditionalFormatting>
  <conditionalFormatting sqref="Z28">
    <cfRule type="cellIs" dxfId="668" priority="1193" operator="greaterThan">
      <formula>0</formula>
    </cfRule>
    <cfRule type="cellIs" dxfId="667" priority="1194" operator="lessThan">
      <formula>0</formula>
    </cfRule>
  </conditionalFormatting>
  <conditionalFormatting sqref="S28">
    <cfRule type="cellIs" dxfId="666" priority="1192" operator="lessThan">
      <formula>0</formula>
    </cfRule>
  </conditionalFormatting>
  <conditionalFormatting sqref="T26:T27">
    <cfRule type="expression" dxfId="665" priority="1196">
      <formula>#REF!="Yes"</formula>
    </cfRule>
  </conditionalFormatting>
  <conditionalFormatting sqref="P28">
    <cfRule type="cellIs" dxfId="664" priority="1190" operator="equal">
      <formula>AS_DURATION_EFFORT</formula>
    </cfRule>
    <cfRule type="cellIs" dxfId="663" priority="1191" operator="equal">
      <formula>AS_DEV_EFFORT</formula>
    </cfRule>
  </conditionalFormatting>
  <conditionalFormatting sqref="B26:B27">
    <cfRule type="expression" dxfId="662" priority="1189">
      <formula>AD26&lt;&gt;""</formula>
    </cfRule>
  </conditionalFormatting>
  <conditionalFormatting sqref="F28">
    <cfRule type="expression" dxfId="661" priority="1188">
      <formula>$K28&lt;&gt;""</formula>
    </cfRule>
  </conditionalFormatting>
  <conditionalFormatting sqref="C28">
    <cfRule type="expression" dxfId="660" priority="1187">
      <formula>$G28&lt;&gt;"-"</formula>
    </cfRule>
  </conditionalFormatting>
  <conditionalFormatting sqref="D28">
    <cfRule type="expression" dxfId="659" priority="1186">
      <formula>$H28&lt;&gt;"-"</formula>
    </cfRule>
  </conditionalFormatting>
  <conditionalFormatting sqref="E28">
    <cfRule type="expression" dxfId="658" priority="1185">
      <formula>$I28&lt;&gt;"-"</formula>
    </cfRule>
  </conditionalFormatting>
  <conditionalFormatting sqref="B35">
    <cfRule type="expression" dxfId="657" priority="1181">
      <formula>AD35&lt;&gt;""</formula>
    </cfRule>
  </conditionalFormatting>
  <conditionalFormatting sqref="Z35">
    <cfRule type="cellIs" dxfId="656" priority="1179" operator="greaterThan">
      <formula>0</formula>
    </cfRule>
    <cfRule type="cellIs" dxfId="655" priority="1180" operator="lessThan">
      <formula>0</formula>
    </cfRule>
  </conditionalFormatting>
  <conditionalFormatting sqref="S35">
    <cfRule type="cellIs" dxfId="654" priority="1178" operator="lessThan">
      <formula>0</formula>
    </cfRule>
  </conditionalFormatting>
  <conditionalFormatting sqref="T33:T34">
    <cfRule type="expression" dxfId="653" priority="1182">
      <formula>#REF!="Yes"</formula>
    </cfRule>
  </conditionalFormatting>
  <conditionalFormatting sqref="P35">
    <cfRule type="cellIs" dxfId="652" priority="1176" operator="equal">
      <formula>AS_DURATION_EFFORT</formula>
    </cfRule>
    <cfRule type="cellIs" dxfId="651" priority="1177" operator="equal">
      <formula>AS_DEV_EFFORT</formula>
    </cfRule>
  </conditionalFormatting>
  <conditionalFormatting sqref="B33:B34">
    <cfRule type="expression" dxfId="650" priority="1175">
      <formula>AD33&lt;&gt;""</formula>
    </cfRule>
  </conditionalFormatting>
  <conditionalFormatting sqref="F35">
    <cfRule type="expression" dxfId="649" priority="1174">
      <formula>$K35&lt;&gt;""</formula>
    </cfRule>
  </conditionalFormatting>
  <conditionalFormatting sqref="C35">
    <cfRule type="expression" dxfId="648" priority="1173">
      <formula>$G35&lt;&gt;"-"</formula>
    </cfRule>
  </conditionalFormatting>
  <conditionalFormatting sqref="D35">
    <cfRule type="expression" dxfId="647" priority="1172">
      <formula>$H35&lt;&gt;"-"</formula>
    </cfRule>
  </conditionalFormatting>
  <conditionalFormatting sqref="E35">
    <cfRule type="expression" dxfId="646" priority="1171">
      <formula>$I35&lt;&gt;"-"</formula>
    </cfRule>
  </conditionalFormatting>
  <conditionalFormatting sqref="B43">
    <cfRule type="expression" dxfId="645" priority="1167">
      <formula>AD43&lt;&gt;""</formula>
    </cfRule>
  </conditionalFormatting>
  <conditionalFormatting sqref="Z43">
    <cfRule type="cellIs" dxfId="644" priority="1165" operator="greaterThan">
      <formula>0</formula>
    </cfRule>
    <cfRule type="cellIs" dxfId="643" priority="1166" operator="lessThan">
      <formula>0</formula>
    </cfRule>
  </conditionalFormatting>
  <conditionalFormatting sqref="S43">
    <cfRule type="cellIs" dxfId="642" priority="1164" operator="lessThan">
      <formula>0</formula>
    </cfRule>
  </conditionalFormatting>
  <conditionalFormatting sqref="T41:T42">
    <cfRule type="expression" dxfId="641" priority="1168">
      <formula>#REF!="Yes"</formula>
    </cfRule>
  </conditionalFormatting>
  <conditionalFormatting sqref="P43">
    <cfRule type="cellIs" dxfId="640" priority="1162" operator="equal">
      <formula>AS_DURATION_EFFORT</formula>
    </cfRule>
    <cfRule type="cellIs" dxfId="639" priority="1163" operator="equal">
      <formula>AS_DEV_EFFORT</formula>
    </cfRule>
  </conditionalFormatting>
  <conditionalFormatting sqref="B41:B42">
    <cfRule type="expression" dxfId="638" priority="1161">
      <formula>AD41&lt;&gt;""</formula>
    </cfRule>
  </conditionalFormatting>
  <conditionalFormatting sqref="F43">
    <cfRule type="expression" dxfId="637" priority="1160">
      <formula>$K43&lt;&gt;""</formula>
    </cfRule>
  </conditionalFormatting>
  <conditionalFormatting sqref="C43">
    <cfRule type="expression" dxfId="636" priority="1159">
      <formula>$G43&lt;&gt;"-"</formula>
    </cfRule>
  </conditionalFormatting>
  <conditionalFormatting sqref="D43">
    <cfRule type="expression" dxfId="635" priority="1158">
      <formula>$H43&lt;&gt;"-"</formula>
    </cfRule>
  </conditionalFormatting>
  <conditionalFormatting sqref="E43">
    <cfRule type="expression" dxfId="634" priority="1157">
      <formula>$I43&lt;&gt;"-"</formula>
    </cfRule>
  </conditionalFormatting>
  <conditionalFormatting sqref="B49">
    <cfRule type="expression" dxfId="633" priority="1153">
      <formula>AD49&lt;&gt;""</formula>
    </cfRule>
  </conditionalFormatting>
  <conditionalFormatting sqref="Z49">
    <cfRule type="cellIs" dxfId="632" priority="1151" operator="greaterThan">
      <formula>0</formula>
    </cfRule>
    <cfRule type="cellIs" dxfId="631" priority="1152" operator="lessThan">
      <formula>0</formula>
    </cfRule>
  </conditionalFormatting>
  <conditionalFormatting sqref="S49">
    <cfRule type="cellIs" dxfId="630" priority="1150" operator="lessThan">
      <formula>0</formula>
    </cfRule>
  </conditionalFormatting>
  <conditionalFormatting sqref="T47:T48">
    <cfRule type="expression" dxfId="629" priority="1154">
      <formula>#REF!="Yes"</formula>
    </cfRule>
  </conditionalFormatting>
  <conditionalFormatting sqref="P49">
    <cfRule type="cellIs" dxfId="628" priority="1148" operator="equal">
      <formula>AS_DURATION_EFFORT</formula>
    </cfRule>
    <cfRule type="cellIs" dxfId="627" priority="1149" operator="equal">
      <formula>AS_DEV_EFFORT</formula>
    </cfRule>
  </conditionalFormatting>
  <conditionalFormatting sqref="B47:B48">
    <cfRule type="expression" dxfId="626" priority="1147">
      <formula>AD47&lt;&gt;""</formula>
    </cfRule>
  </conditionalFormatting>
  <conditionalFormatting sqref="F49">
    <cfRule type="expression" dxfId="625" priority="1146">
      <formula>$K49&lt;&gt;""</formula>
    </cfRule>
  </conditionalFormatting>
  <conditionalFormatting sqref="C49">
    <cfRule type="expression" dxfId="624" priority="1145">
      <formula>$G49&lt;&gt;"-"</formula>
    </cfRule>
  </conditionalFormatting>
  <conditionalFormatting sqref="D49">
    <cfRule type="expression" dxfId="623" priority="1144">
      <formula>$H49&lt;&gt;"-"</formula>
    </cfRule>
  </conditionalFormatting>
  <conditionalFormatting sqref="E49">
    <cfRule type="expression" dxfId="622" priority="1143">
      <formula>$I49&lt;&gt;"-"</formula>
    </cfRule>
  </conditionalFormatting>
  <conditionalFormatting sqref="B58">
    <cfRule type="expression" dxfId="621" priority="1139">
      <formula>AD58&lt;&gt;""</formula>
    </cfRule>
  </conditionalFormatting>
  <conditionalFormatting sqref="Z58">
    <cfRule type="cellIs" dxfId="620" priority="1137" operator="greaterThan">
      <formula>0</formula>
    </cfRule>
    <cfRule type="cellIs" dxfId="619" priority="1138" operator="lessThan">
      <formula>0</formula>
    </cfRule>
  </conditionalFormatting>
  <conditionalFormatting sqref="S58">
    <cfRule type="cellIs" dxfId="618" priority="1136" operator="lessThan">
      <formula>0</formula>
    </cfRule>
  </conditionalFormatting>
  <conditionalFormatting sqref="T56:T57">
    <cfRule type="expression" dxfId="617" priority="1140">
      <formula>#REF!="Yes"</formula>
    </cfRule>
  </conditionalFormatting>
  <conditionalFormatting sqref="P58">
    <cfRule type="cellIs" dxfId="616" priority="1134" operator="equal">
      <formula>AS_DURATION_EFFORT</formula>
    </cfRule>
    <cfRule type="cellIs" dxfId="615" priority="1135" operator="equal">
      <formula>AS_DEV_EFFORT</formula>
    </cfRule>
  </conditionalFormatting>
  <conditionalFormatting sqref="B56:B57">
    <cfRule type="expression" dxfId="614" priority="1133">
      <formula>AD56&lt;&gt;""</formula>
    </cfRule>
  </conditionalFormatting>
  <conditionalFormatting sqref="F58">
    <cfRule type="expression" dxfId="613" priority="1132">
      <formula>$K58&lt;&gt;""</formula>
    </cfRule>
  </conditionalFormatting>
  <conditionalFormatting sqref="C58">
    <cfRule type="expression" dxfId="612" priority="1131">
      <formula>$G58&lt;&gt;"-"</formula>
    </cfRule>
  </conditionalFormatting>
  <conditionalFormatting sqref="D58">
    <cfRule type="expression" dxfId="611" priority="1130">
      <formula>$H58&lt;&gt;"-"</formula>
    </cfRule>
  </conditionalFormatting>
  <conditionalFormatting sqref="E58">
    <cfRule type="expression" dxfId="610" priority="1129">
      <formula>$I58&lt;&gt;"-"</formula>
    </cfRule>
  </conditionalFormatting>
  <conditionalFormatting sqref="N18">
    <cfRule type="expression" dxfId="609" priority="1127">
      <formula>AND($G18="Yes", $S$6="Exclude")</formula>
    </cfRule>
    <cfRule type="expression" dxfId="608" priority="1128">
      <formula>$J18="Yes"</formula>
    </cfRule>
  </conditionalFormatting>
  <conditionalFormatting sqref="P18">
    <cfRule type="cellIs" dxfId="607" priority="1123" operator="equal">
      <formula>AS_DURATION_EFFORT</formula>
    </cfRule>
    <cfRule type="cellIs" dxfId="606" priority="1124" operator="equal">
      <formula>AS_DEV_EFFORT</formula>
    </cfRule>
  </conditionalFormatting>
  <conditionalFormatting sqref="P18:Q18">
    <cfRule type="expression" dxfId="605" priority="1125">
      <formula>AND($G18="Yes", $S$6="Exclude")</formula>
    </cfRule>
    <cfRule type="expression" dxfId="604" priority="1126">
      <formula>$J18="Yes"</formula>
    </cfRule>
  </conditionalFormatting>
  <conditionalFormatting sqref="B22">
    <cfRule type="expression" dxfId="603" priority="1120">
      <formula>AD22&lt;&gt;""</formula>
    </cfRule>
  </conditionalFormatting>
  <conditionalFormatting sqref="Z22">
    <cfRule type="cellIs" dxfId="602" priority="1118" operator="greaterThan">
      <formula>0</formula>
    </cfRule>
    <cfRule type="cellIs" dxfId="601" priority="1119" operator="lessThan">
      <formula>0</formula>
    </cfRule>
  </conditionalFormatting>
  <conditionalFormatting sqref="S22">
    <cfRule type="cellIs" dxfId="600" priority="1117" operator="lessThan">
      <formula>0</formula>
    </cfRule>
  </conditionalFormatting>
  <conditionalFormatting sqref="P22">
    <cfRule type="cellIs" dxfId="599" priority="1115" operator="equal">
      <formula>AS_DURATION_EFFORT</formula>
    </cfRule>
    <cfRule type="cellIs" dxfId="598" priority="1116" operator="equal">
      <formula>AS_DEV_EFFORT</formula>
    </cfRule>
  </conditionalFormatting>
  <conditionalFormatting sqref="L22:M22 O22:AC22">
    <cfRule type="expression" dxfId="597" priority="1121">
      <formula>AND($G22="Yes", $S$6="Exclude")</formula>
    </cfRule>
    <cfRule type="expression" dxfId="596" priority="1122">
      <formula>$J22="Yes"</formula>
    </cfRule>
  </conditionalFormatting>
  <conditionalFormatting sqref="F22">
    <cfRule type="expression" dxfId="595" priority="1114">
      <formula>$K22&lt;&gt;""</formula>
    </cfRule>
  </conditionalFormatting>
  <conditionalFormatting sqref="C22">
    <cfRule type="expression" dxfId="594" priority="1113">
      <formula>$G22&lt;&gt;"-"</formula>
    </cfRule>
  </conditionalFormatting>
  <conditionalFormatting sqref="D22">
    <cfRule type="expression" dxfId="593" priority="1112">
      <formula>$H22&lt;&gt;"-"</formula>
    </cfRule>
  </conditionalFormatting>
  <conditionalFormatting sqref="E22">
    <cfRule type="expression" dxfId="592" priority="1111">
      <formula>$I22&lt;&gt;"-"</formula>
    </cfRule>
  </conditionalFormatting>
  <conditionalFormatting sqref="N22">
    <cfRule type="expression" dxfId="591" priority="1109">
      <formula>AND($G22="Yes", $S$6="Exclude")</formula>
    </cfRule>
    <cfRule type="expression" dxfId="590" priority="1110">
      <formula>$J22="Yes"</formula>
    </cfRule>
  </conditionalFormatting>
  <conditionalFormatting sqref="B31">
    <cfRule type="expression" dxfId="589" priority="1106">
      <formula>AD31&lt;&gt;""</formula>
    </cfRule>
  </conditionalFormatting>
  <conditionalFormatting sqref="Z31">
    <cfRule type="cellIs" dxfId="588" priority="1104" operator="greaterThan">
      <formula>0</formula>
    </cfRule>
    <cfRule type="cellIs" dxfId="587" priority="1105" operator="lessThan">
      <formula>0</formula>
    </cfRule>
  </conditionalFormatting>
  <conditionalFormatting sqref="S31">
    <cfRule type="cellIs" dxfId="586" priority="1103" operator="lessThan">
      <formula>0</formula>
    </cfRule>
  </conditionalFormatting>
  <conditionalFormatting sqref="P31">
    <cfRule type="cellIs" dxfId="585" priority="1101" operator="equal">
      <formula>AS_DURATION_EFFORT</formula>
    </cfRule>
    <cfRule type="cellIs" dxfId="584" priority="1102" operator="equal">
      <formula>AS_DEV_EFFORT</formula>
    </cfRule>
  </conditionalFormatting>
  <conditionalFormatting sqref="L31:M31 O31:AC31">
    <cfRule type="expression" dxfId="583" priority="1107">
      <formula>AND($G31="Yes", $S$6="Exclude")</formula>
    </cfRule>
    <cfRule type="expression" dxfId="582" priority="1108">
      <formula>$J31="Yes"</formula>
    </cfRule>
  </conditionalFormatting>
  <conditionalFormatting sqref="F31">
    <cfRule type="expression" dxfId="581" priority="1100">
      <formula>$K31&lt;&gt;""</formula>
    </cfRule>
  </conditionalFormatting>
  <conditionalFormatting sqref="C31">
    <cfRule type="expression" dxfId="580" priority="1099">
      <formula>$G31&lt;&gt;"-"</formula>
    </cfRule>
  </conditionalFormatting>
  <conditionalFormatting sqref="D31">
    <cfRule type="expression" dxfId="579" priority="1098">
      <formula>$H31&lt;&gt;"-"</formula>
    </cfRule>
  </conditionalFormatting>
  <conditionalFormatting sqref="E31">
    <cfRule type="expression" dxfId="578" priority="1097">
      <formula>$I31&lt;&gt;"-"</formula>
    </cfRule>
  </conditionalFormatting>
  <conditionalFormatting sqref="B30">
    <cfRule type="expression" dxfId="577" priority="1094">
      <formula>AD30&lt;&gt;""</formula>
    </cfRule>
  </conditionalFormatting>
  <conditionalFormatting sqref="Z30">
    <cfRule type="cellIs" dxfId="576" priority="1092" operator="greaterThan">
      <formula>0</formula>
    </cfRule>
    <cfRule type="cellIs" dxfId="575" priority="1093" operator="lessThan">
      <formula>0</formula>
    </cfRule>
  </conditionalFormatting>
  <conditionalFormatting sqref="S30">
    <cfRule type="cellIs" dxfId="574" priority="1091" operator="lessThan">
      <formula>0</formula>
    </cfRule>
  </conditionalFormatting>
  <conditionalFormatting sqref="P30">
    <cfRule type="cellIs" dxfId="573" priority="1089" operator="equal">
      <formula>AS_DURATION_EFFORT</formula>
    </cfRule>
    <cfRule type="cellIs" dxfId="572" priority="1090" operator="equal">
      <formula>AS_DEV_EFFORT</formula>
    </cfRule>
  </conditionalFormatting>
  <conditionalFormatting sqref="L30:M30 P30:W30 Y30:AC30">
    <cfRule type="expression" dxfId="571" priority="1095">
      <formula>AND($G30="Yes", $S$6="Exclude")</formula>
    </cfRule>
    <cfRule type="expression" dxfId="570" priority="1096">
      <formula>$J30="Yes"</formula>
    </cfRule>
  </conditionalFormatting>
  <conditionalFormatting sqref="F30">
    <cfRule type="expression" dxfId="569" priority="1088">
      <formula>$K30&lt;&gt;""</formula>
    </cfRule>
  </conditionalFormatting>
  <conditionalFormatting sqref="C30">
    <cfRule type="expression" dxfId="568" priority="1087">
      <formula>$G30&lt;&gt;"-"</formula>
    </cfRule>
  </conditionalFormatting>
  <conditionalFormatting sqref="D30">
    <cfRule type="expression" dxfId="567" priority="1086">
      <formula>$H30&lt;&gt;"-"</formula>
    </cfRule>
  </conditionalFormatting>
  <conditionalFormatting sqref="E30">
    <cfRule type="expression" dxfId="566" priority="1085">
      <formula>$I30&lt;&gt;"-"</formula>
    </cfRule>
  </conditionalFormatting>
  <conditionalFormatting sqref="B29">
    <cfRule type="expression" dxfId="565" priority="1082">
      <formula>AD29&lt;&gt;""</formula>
    </cfRule>
  </conditionalFormatting>
  <conditionalFormatting sqref="Z29">
    <cfRule type="cellIs" dxfId="564" priority="1080" operator="greaterThan">
      <formula>0</formula>
    </cfRule>
    <cfRule type="cellIs" dxfId="563" priority="1081" operator="lessThan">
      <formula>0</formula>
    </cfRule>
  </conditionalFormatting>
  <conditionalFormatting sqref="S29">
    <cfRule type="cellIs" dxfId="562" priority="1079" operator="lessThan">
      <formula>0</formula>
    </cfRule>
  </conditionalFormatting>
  <conditionalFormatting sqref="P29">
    <cfRule type="cellIs" dxfId="561" priority="1077" operator="equal">
      <formula>AS_DURATION_EFFORT</formula>
    </cfRule>
    <cfRule type="cellIs" dxfId="560" priority="1078" operator="equal">
      <formula>AS_DEV_EFFORT</formula>
    </cfRule>
  </conditionalFormatting>
  <conditionalFormatting sqref="L29:M29 P29:AC29">
    <cfRule type="expression" dxfId="559" priority="1083">
      <formula>AND($G29="Yes", $S$6="Exclude")</formula>
    </cfRule>
    <cfRule type="expression" dxfId="558" priority="1084">
      <formula>$J29="Yes"</formula>
    </cfRule>
  </conditionalFormatting>
  <conditionalFormatting sqref="F29">
    <cfRule type="expression" dxfId="557" priority="1076">
      <formula>$K29&lt;&gt;""</formula>
    </cfRule>
  </conditionalFormatting>
  <conditionalFormatting sqref="C29">
    <cfRule type="expression" dxfId="556" priority="1075">
      <formula>$G29&lt;&gt;"-"</formula>
    </cfRule>
  </conditionalFormatting>
  <conditionalFormatting sqref="D29">
    <cfRule type="expression" dxfId="555" priority="1074">
      <formula>$H29&lt;&gt;"-"</formula>
    </cfRule>
  </conditionalFormatting>
  <conditionalFormatting sqref="E29">
    <cfRule type="expression" dxfId="554" priority="1073">
      <formula>$I29&lt;&gt;"-"</formula>
    </cfRule>
  </conditionalFormatting>
  <conditionalFormatting sqref="N30:N31">
    <cfRule type="expression" dxfId="553" priority="1071">
      <formula>AND($G30="Yes", $S$6="Exclude")</formula>
    </cfRule>
    <cfRule type="expression" dxfId="552" priority="1072">
      <formula>$J30="Yes"</formula>
    </cfRule>
  </conditionalFormatting>
  <conditionalFormatting sqref="N28">
    <cfRule type="expression" dxfId="551" priority="1069">
      <formula>AND($G28="Yes", $S$6="Exclude")</formula>
    </cfRule>
    <cfRule type="expression" dxfId="550" priority="1070">
      <formula>$J28="Yes"</formula>
    </cfRule>
  </conditionalFormatting>
  <conditionalFormatting sqref="N29">
    <cfRule type="expression" dxfId="549" priority="1067">
      <formula>AND($G29="Yes", $S$6="Exclude")</formula>
    </cfRule>
    <cfRule type="expression" dxfId="548" priority="1068">
      <formula>$J29="Yes"</formula>
    </cfRule>
  </conditionalFormatting>
  <conditionalFormatting sqref="O30">
    <cfRule type="expression" dxfId="547" priority="1065">
      <formula>AND($G30="Yes", $S$6="Exclude")</formula>
    </cfRule>
    <cfRule type="expression" dxfId="546" priority="1066">
      <formula>$J30="Yes"</formula>
    </cfRule>
  </conditionalFormatting>
  <conditionalFormatting sqref="O29">
    <cfRule type="expression" dxfId="545" priority="1063">
      <formula>AND($G29="Yes", $S$6="Exclude")</formula>
    </cfRule>
    <cfRule type="expression" dxfId="544" priority="1064">
      <formula>$J29="Yes"</formula>
    </cfRule>
  </conditionalFormatting>
  <conditionalFormatting sqref="B39">
    <cfRule type="expression" dxfId="543" priority="1060">
      <formula>AD39&lt;&gt;""</formula>
    </cfRule>
  </conditionalFormatting>
  <conditionalFormatting sqref="Z39">
    <cfRule type="cellIs" dxfId="542" priority="1058" operator="greaterThan">
      <formula>0</formula>
    </cfRule>
    <cfRule type="cellIs" dxfId="541" priority="1059" operator="lessThan">
      <formula>0</formula>
    </cfRule>
  </conditionalFormatting>
  <conditionalFormatting sqref="S39">
    <cfRule type="cellIs" dxfId="540" priority="1057" operator="lessThan">
      <formula>0</formula>
    </cfRule>
  </conditionalFormatting>
  <conditionalFormatting sqref="P39">
    <cfRule type="cellIs" dxfId="539" priority="1055" operator="equal">
      <formula>AS_DURATION_EFFORT</formula>
    </cfRule>
    <cfRule type="cellIs" dxfId="538" priority="1056" operator="equal">
      <formula>AS_DEV_EFFORT</formula>
    </cfRule>
  </conditionalFormatting>
  <conditionalFormatting sqref="L39:M39 O39:P39 S39:AC39">
    <cfRule type="expression" dxfId="537" priority="1061">
      <formula>AND($G39="Yes", $S$6="Exclude")</formula>
    </cfRule>
    <cfRule type="expression" dxfId="536" priority="1062">
      <formula>$J39="Yes"</formula>
    </cfRule>
  </conditionalFormatting>
  <conditionalFormatting sqref="F39">
    <cfRule type="expression" dxfId="535" priority="1054">
      <formula>$K39&lt;&gt;""</formula>
    </cfRule>
  </conditionalFormatting>
  <conditionalFormatting sqref="C39">
    <cfRule type="expression" dxfId="534" priority="1053">
      <formula>$G39&lt;&gt;"-"</formula>
    </cfRule>
  </conditionalFormatting>
  <conditionalFormatting sqref="D39">
    <cfRule type="expression" dxfId="533" priority="1052">
      <formula>$H39&lt;&gt;"-"</formula>
    </cfRule>
  </conditionalFormatting>
  <conditionalFormatting sqref="E39">
    <cfRule type="expression" dxfId="532" priority="1051">
      <formula>$I39&lt;&gt;"-"</formula>
    </cfRule>
  </conditionalFormatting>
  <conditionalFormatting sqref="B38">
    <cfRule type="expression" dxfId="531" priority="1048">
      <formula>AD38&lt;&gt;""</formula>
    </cfRule>
  </conditionalFormatting>
  <conditionalFormatting sqref="Z38">
    <cfRule type="cellIs" dxfId="530" priority="1046" operator="greaterThan">
      <formula>0</formula>
    </cfRule>
    <cfRule type="cellIs" dxfId="529" priority="1047" operator="lessThan">
      <formula>0</formula>
    </cfRule>
  </conditionalFormatting>
  <conditionalFormatting sqref="S38">
    <cfRule type="cellIs" dxfId="528" priority="1045" operator="lessThan">
      <formula>0</formula>
    </cfRule>
  </conditionalFormatting>
  <conditionalFormatting sqref="P38">
    <cfRule type="cellIs" dxfId="527" priority="1043" operator="equal">
      <formula>AS_DURATION_EFFORT</formula>
    </cfRule>
    <cfRule type="cellIs" dxfId="526" priority="1044" operator="equal">
      <formula>AS_DEV_EFFORT</formula>
    </cfRule>
  </conditionalFormatting>
  <conditionalFormatting sqref="L38:M38 P38 S38:AC38">
    <cfRule type="expression" dxfId="525" priority="1049">
      <formula>AND($G38="Yes", $S$6="Exclude")</formula>
    </cfRule>
    <cfRule type="expression" dxfId="524" priority="1050">
      <formula>$J38="Yes"</formula>
    </cfRule>
  </conditionalFormatting>
  <conditionalFormatting sqref="F38">
    <cfRule type="expression" dxfId="523" priority="1042">
      <formula>$K38&lt;&gt;""</formula>
    </cfRule>
  </conditionalFormatting>
  <conditionalFormatting sqref="C38">
    <cfRule type="expression" dxfId="522" priority="1041">
      <formula>$G38&lt;&gt;"-"</formula>
    </cfRule>
  </conditionalFormatting>
  <conditionalFormatting sqref="D38">
    <cfRule type="expression" dxfId="521" priority="1040">
      <formula>$H38&lt;&gt;"-"</formula>
    </cfRule>
  </conditionalFormatting>
  <conditionalFormatting sqref="E38">
    <cfRule type="expression" dxfId="520" priority="1039">
      <formula>$I38&lt;&gt;"-"</formula>
    </cfRule>
  </conditionalFormatting>
  <conditionalFormatting sqref="B37">
    <cfRule type="expression" dxfId="519" priority="1036">
      <formula>AD37&lt;&gt;""</formula>
    </cfRule>
  </conditionalFormatting>
  <conditionalFormatting sqref="Z37">
    <cfRule type="cellIs" dxfId="518" priority="1034" operator="greaterThan">
      <formula>0</formula>
    </cfRule>
    <cfRule type="cellIs" dxfId="517" priority="1035" operator="lessThan">
      <formula>0</formula>
    </cfRule>
  </conditionalFormatting>
  <conditionalFormatting sqref="S37">
    <cfRule type="cellIs" dxfId="516" priority="1033" operator="lessThan">
      <formula>0</formula>
    </cfRule>
  </conditionalFormatting>
  <conditionalFormatting sqref="P37">
    <cfRule type="cellIs" dxfId="515" priority="1031" operator="equal">
      <formula>AS_DURATION_EFFORT</formula>
    </cfRule>
    <cfRule type="cellIs" dxfId="514" priority="1032" operator="equal">
      <formula>AS_DEV_EFFORT</formula>
    </cfRule>
  </conditionalFormatting>
  <conditionalFormatting sqref="L37:M37 P37 S37:AC37">
    <cfRule type="expression" dxfId="513" priority="1037">
      <formula>AND($G37="Yes", $S$6="Exclude")</formula>
    </cfRule>
    <cfRule type="expression" dxfId="512" priority="1038">
      <formula>$J37="Yes"</formula>
    </cfRule>
  </conditionalFormatting>
  <conditionalFormatting sqref="F37">
    <cfRule type="expression" dxfId="511" priority="1030">
      <formula>$K37&lt;&gt;""</formula>
    </cfRule>
  </conditionalFormatting>
  <conditionalFormatting sqref="C37">
    <cfRule type="expression" dxfId="510" priority="1029">
      <formula>$G37&lt;&gt;"-"</formula>
    </cfRule>
  </conditionalFormatting>
  <conditionalFormatting sqref="D37">
    <cfRule type="expression" dxfId="509" priority="1028">
      <formula>$H37&lt;&gt;"-"</formula>
    </cfRule>
  </conditionalFormatting>
  <conditionalFormatting sqref="E37">
    <cfRule type="expression" dxfId="508" priority="1027">
      <formula>$I37&lt;&gt;"-"</formula>
    </cfRule>
  </conditionalFormatting>
  <conditionalFormatting sqref="B36">
    <cfRule type="expression" dxfId="507" priority="1024">
      <formula>AD36&lt;&gt;""</formula>
    </cfRule>
  </conditionalFormatting>
  <conditionalFormatting sqref="Z36">
    <cfRule type="cellIs" dxfId="506" priority="1022" operator="greaterThan">
      <formula>0</formula>
    </cfRule>
    <cfRule type="cellIs" dxfId="505" priority="1023" operator="lessThan">
      <formula>0</formula>
    </cfRule>
  </conditionalFormatting>
  <conditionalFormatting sqref="S36">
    <cfRule type="cellIs" dxfId="504" priority="1021" operator="lessThan">
      <formula>0</formula>
    </cfRule>
  </conditionalFormatting>
  <conditionalFormatting sqref="P36">
    <cfRule type="cellIs" dxfId="503" priority="1019" operator="equal">
      <formula>AS_DURATION_EFFORT</formula>
    </cfRule>
    <cfRule type="cellIs" dxfId="502" priority="1020" operator="equal">
      <formula>AS_DEV_EFFORT</formula>
    </cfRule>
  </conditionalFormatting>
  <conditionalFormatting sqref="L36:M36 P36 S36:AC36">
    <cfRule type="expression" dxfId="501" priority="1025">
      <formula>AND($G36="Yes", $S$6="Exclude")</formula>
    </cfRule>
    <cfRule type="expression" dxfId="500" priority="1026">
      <formula>$J36="Yes"</formula>
    </cfRule>
  </conditionalFormatting>
  <conditionalFormatting sqref="F36">
    <cfRule type="expression" dxfId="499" priority="1018">
      <formula>$K36&lt;&gt;""</formula>
    </cfRule>
  </conditionalFormatting>
  <conditionalFormatting sqref="C36">
    <cfRule type="expression" dxfId="498" priority="1017">
      <formula>$G36&lt;&gt;"-"</formula>
    </cfRule>
  </conditionalFormatting>
  <conditionalFormatting sqref="D36">
    <cfRule type="expression" dxfId="497" priority="1016">
      <formula>$H36&lt;&gt;"-"</formula>
    </cfRule>
  </conditionalFormatting>
  <conditionalFormatting sqref="E36">
    <cfRule type="expression" dxfId="496" priority="1015">
      <formula>$I36&lt;&gt;"-"</formula>
    </cfRule>
  </conditionalFormatting>
  <conditionalFormatting sqref="N35">
    <cfRule type="expression" dxfId="495" priority="1013">
      <formula>AND($G35="Yes", $S$6="Exclude")</formula>
    </cfRule>
    <cfRule type="expression" dxfId="494" priority="1014">
      <formula>$J35="Yes"</formula>
    </cfRule>
  </conditionalFormatting>
  <conditionalFormatting sqref="N38">
    <cfRule type="expression" dxfId="493" priority="1011">
      <formula>AND($G38="Yes", $S$6="Exclude")</formula>
    </cfRule>
    <cfRule type="expression" dxfId="492" priority="1012">
      <formula>$J38="Yes"</formula>
    </cfRule>
  </conditionalFormatting>
  <conditionalFormatting sqref="N37">
    <cfRule type="expression" dxfId="491" priority="1009">
      <formula>AND($G37="Yes", $S$6="Exclude")</formula>
    </cfRule>
    <cfRule type="expression" dxfId="490" priority="1010">
      <formula>$J37="Yes"</formula>
    </cfRule>
  </conditionalFormatting>
  <conditionalFormatting sqref="N36">
    <cfRule type="expression" dxfId="489" priority="1007">
      <formula>AND($G36="Yes", $S$6="Exclude")</formula>
    </cfRule>
    <cfRule type="expression" dxfId="488" priority="1008">
      <formula>$J36="Yes"</formula>
    </cfRule>
  </conditionalFormatting>
  <conditionalFormatting sqref="N39">
    <cfRule type="expression" dxfId="487" priority="1005">
      <formula>AND($G39="Yes", $S$6="Exclude")</formula>
    </cfRule>
    <cfRule type="expression" dxfId="486" priority="1006">
      <formula>$J39="Yes"</formula>
    </cfRule>
  </conditionalFormatting>
  <conditionalFormatting sqref="O36">
    <cfRule type="expression" dxfId="485" priority="1003">
      <formula>AND($G36="Yes", $S$6="Exclude")</formula>
    </cfRule>
    <cfRule type="expression" dxfId="484" priority="1004">
      <formula>$J36="Yes"</formula>
    </cfRule>
  </conditionalFormatting>
  <conditionalFormatting sqref="O37">
    <cfRule type="expression" dxfId="483" priority="1001">
      <formula>AND($G37="Yes", $S$6="Exclude")</formula>
    </cfRule>
    <cfRule type="expression" dxfId="482" priority="1002">
      <formula>$J37="Yes"</formula>
    </cfRule>
  </conditionalFormatting>
  <conditionalFormatting sqref="O38">
    <cfRule type="expression" dxfId="481" priority="999">
      <formula>AND($G38="Yes", $S$6="Exclude")</formula>
    </cfRule>
    <cfRule type="expression" dxfId="480" priority="1000">
      <formula>$J38="Yes"</formula>
    </cfRule>
  </conditionalFormatting>
  <conditionalFormatting sqref="B45">
    <cfRule type="expression" dxfId="479" priority="996">
      <formula>AD45&lt;&gt;""</formula>
    </cfRule>
  </conditionalFormatting>
  <conditionalFormatting sqref="Z45">
    <cfRule type="cellIs" dxfId="478" priority="994" operator="greaterThan">
      <formula>0</formula>
    </cfRule>
    <cfRule type="cellIs" dxfId="477" priority="995" operator="lessThan">
      <formula>0</formula>
    </cfRule>
  </conditionalFormatting>
  <conditionalFormatting sqref="S45">
    <cfRule type="cellIs" dxfId="476" priority="993" operator="lessThan">
      <formula>0</formula>
    </cfRule>
  </conditionalFormatting>
  <conditionalFormatting sqref="P45">
    <cfRule type="cellIs" dxfId="475" priority="991" operator="equal">
      <formula>AS_DURATION_EFFORT</formula>
    </cfRule>
    <cfRule type="cellIs" dxfId="474" priority="992" operator="equal">
      <formula>AS_DEV_EFFORT</formula>
    </cfRule>
  </conditionalFormatting>
  <conditionalFormatting sqref="L45:M45 P45:AC45">
    <cfRule type="expression" dxfId="473" priority="997">
      <formula>AND($G45="Yes", $S$6="Exclude")</formula>
    </cfRule>
    <cfRule type="expression" dxfId="472" priority="998">
      <formula>$J45="Yes"</formula>
    </cfRule>
  </conditionalFormatting>
  <conditionalFormatting sqref="F45">
    <cfRule type="expression" dxfId="471" priority="990">
      <formula>$K45&lt;&gt;""</formula>
    </cfRule>
  </conditionalFormatting>
  <conditionalFormatting sqref="C45">
    <cfRule type="expression" dxfId="470" priority="989">
      <formula>$G45&lt;&gt;"-"</formula>
    </cfRule>
  </conditionalFormatting>
  <conditionalFormatting sqref="D45">
    <cfRule type="expression" dxfId="469" priority="988">
      <formula>$H45&lt;&gt;"-"</formula>
    </cfRule>
  </conditionalFormatting>
  <conditionalFormatting sqref="E45">
    <cfRule type="expression" dxfId="468" priority="987">
      <formula>$I45&lt;&gt;"-"</formula>
    </cfRule>
  </conditionalFormatting>
  <conditionalFormatting sqref="B44">
    <cfRule type="expression" dxfId="467" priority="984">
      <formula>AD44&lt;&gt;""</formula>
    </cfRule>
  </conditionalFormatting>
  <conditionalFormatting sqref="Z44">
    <cfRule type="cellIs" dxfId="466" priority="982" operator="greaterThan">
      <formula>0</formula>
    </cfRule>
    <cfRule type="cellIs" dxfId="465" priority="983" operator="lessThan">
      <formula>0</formula>
    </cfRule>
  </conditionalFormatting>
  <conditionalFormatting sqref="S44">
    <cfRule type="cellIs" dxfId="464" priority="981" operator="lessThan">
      <formula>0</formula>
    </cfRule>
  </conditionalFormatting>
  <conditionalFormatting sqref="P44">
    <cfRule type="cellIs" dxfId="463" priority="979" operator="equal">
      <formula>AS_DURATION_EFFORT</formula>
    </cfRule>
    <cfRule type="cellIs" dxfId="462" priority="980" operator="equal">
      <formula>AS_DEV_EFFORT</formula>
    </cfRule>
  </conditionalFormatting>
  <conditionalFormatting sqref="L44:M44 P44:AC44">
    <cfRule type="expression" dxfId="461" priority="985">
      <formula>AND($G44="Yes", $S$6="Exclude")</formula>
    </cfRule>
    <cfRule type="expression" dxfId="460" priority="986">
      <formula>$J44="Yes"</formula>
    </cfRule>
  </conditionalFormatting>
  <conditionalFormatting sqref="F44">
    <cfRule type="expression" dxfId="459" priority="978">
      <formula>$K44&lt;&gt;""</formula>
    </cfRule>
  </conditionalFormatting>
  <conditionalFormatting sqref="C44">
    <cfRule type="expression" dxfId="458" priority="977">
      <formula>$G44&lt;&gt;"-"</formula>
    </cfRule>
  </conditionalFormatting>
  <conditionalFormatting sqref="D44">
    <cfRule type="expression" dxfId="457" priority="976">
      <formula>$H44&lt;&gt;"-"</formula>
    </cfRule>
  </conditionalFormatting>
  <conditionalFormatting sqref="E44">
    <cfRule type="expression" dxfId="456" priority="975">
      <formula>$I44&lt;&gt;"-"</formula>
    </cfRule>
  </conditionalFormatting>
  <conditionalFormatting sqref="N43:O45">
    <cfRule type="expression" dxfId="455" priority="973">
      <formula>AND($G43="Yes", $S$6="Exclude")</formula>
    </cfRule>
    <cfRule type="expression" dxfId="454" priority="974">
      <formula>$J43="Yes"</formula>
    </cfRule>
  </conditionalFormatting>
  <conditionalFormatting sqref="P43">
    <cfRule type="cellIs" dxfId="453" priority="971" operator="equal">
      <formula>AS_DURATION_EFFORT</formula>
    </cfRule>
    <cfRule type="cellIs" dxfId="452" priority="972" operator="equal">
      <formula>AS_DEV_EFFORT</formula>
    </cfRule>
  </conditionalFormatting>
  <conditionalFormatting sqref="B54">
    <cfRule type="expression" dxfId="451" priority="968">
      <formula>AD54&lt;&gt;""</formula>
    </cfRule>
  </conditionalFormatting>
  <conditionalFormatting sqref="Z54">
    <cfRule type="cellIs" dxfId="450" priority="966" operator="greaterThan">
      <formula>0</formula>
    </cfRule>
    <cfRule type="cellIs" dxfId="449" priority="967" operator="lessThan">
      <formula>0</formula>
    </cfRule>
  </conditionalFormatting>
  <conditionalFormatting sqref="S54">
    <cfRule type="cellIs" dxfId="448" priority="965" operator="lessThan">
      <formula>0</formula>
    </cfRule>
  </conditionalFormatting>
  <conditionalFormatting sqref="P54">
    <cfRule type="cellIs" dxfId="447" priority="963" operator="equal">
      <formula>AS_DURATION_EFFORT</formula>
    </cfRule>
    <cfRule type="cellIs" dxfId="446" priority="964" operator="equal">
      <formula>AS_DEV_EFFORT</formula>
    </cfRule>
  </conditionalFormatting>
  <conditionalFormatting sqref="L54:M54 O54:AC54">
    <cfRule type="expression" dxfId="445" priority="969">
      <formula>AND($G54="Yes", $S$6="Exclude")</formula>
    </cfRule>
    <cfRule type="expression" dxfId="444" priority="970">
      <formula>$J54="Yes"</formula>
    </cfRule>
  </conditionalFormatting>
  <conditionalFormatting sqref="F54">
    <cfRule type="expression" dxfId="443" priority="962">
      <formula>$K54&lt;&gt;""</formula>
    </cfRule>
  </conditionalFormatting>
  <conditionalFormatting sqref="C54">
    <cfRule type="expression" dxfId="442" priority="961">
      <formula>$G54&lt;&gt;"-"</formula>
    </cfRule>
  </conditionalFormatting>
  <conditionalFormatting sqref="D54">
    <cfRule type="expression" dxfId="441" priority="960">
      <formula>$H54&lt;&gt;"-"</formula>
    </cfRule>
  </conditionalFormatting>
  <conditionalFormatting sqref="E54">
    <cfRule type="expression" dxfId="440" priority="959">
      <formula>$I54&lt;&gt;"-"</formula>
    </cfRule>
  </conditionalFormatting>
  <conditionalFormatting sqref="B53">
    <cfRule type="expression" dxfId="439" priority="956">
      <formula>AD53&lt;&gt;""</formula>
    </cfRule>
  </conditionalFormatting>
  <conditionalFormatting sqref="Z53">
    <cfRule type="cellIs" dxfId="438" priority="954" operator="greaterThan">
      <formula>0</formula>
    </cfRule>
    <cfRule type="cellIs" dxfId="437" priority="955" operator="lessThan">
      <formula>0</formula>
    </cfRule>
  </conditionalFormatting>
  <conditionalFormatting sqref="S53">
    <cfRule type="cellIs" dxfId="436" priority="953" operator="lessThan">
      <formula>0</formula>
    </cfRule>
  </conditionalFormatting>
  <conditionalFormatting sqref="P53">
    <cfRule type="cellIs" dxfId="435" priority="951" operator="equal">
      <formula>AS_DURATION_EFFORT</formula>
    </cfRule>
    <cfRule type="cellIs" dxfId="434" priority="952" operator="equal">
      <formula>AS_DEV_EFFORT</formula>
    </cfRule>
  </conditionalFormatting>
  <conditionalFormatting sqref="L53:M53 O53:AC53">
    <cfRule type="expression" dxfId="433" priority="957">
      <formula>AND($G53="Yes", $S$6="Exclude")</formula>
    </cfRule>
    <cfRule type="expression" dxfId="432" priority="958">
      <formula>$J53="Yes"</formula>
    </cfRule>
  </conditionalFormatting>
  <conditionalFormatting sqref="F53">
    <cfRule type="expression" dxfId="431" priority="950">
      <formula>$K53&lt;&gt;""</formula>
    </cfRule>
  </conditionalFormatting>
  <conditionalFormatting sqref="C53">
    <cfRule type="expression" dxfId="430" priority="949">
      <formula>$G53&lt;&gt;"-"</formula>
    </cfRule>
  </conditionalFormatting>
  <conditionalFormatting sqref="D53">
    <cfRule type="expression" dxfId="429" priority="948">
      <formula>$H53&lt;&gt;"-"</formula>
    </cfRule>
  </conditionalFormatting>
  <conditionalFormatting sqref="E53">
    <cfRule type="expression" dxfId="428" priority="947">
      <formula>$I53&lt;&gt;"-"</formula>
    </cfRule>
  </conditionalFormatting>
  <conditionalFormatting sqref="B52">
    <cfRule type="expression" dxfId="427" priority="944">
      <formula>AD52&lt;&gt;""</formula>
    </cfRule>
  </conditionalFormatting>
  <conditionalFormatting sqref="Z52">
    <cfRule type="cellIs" dxfId="426" priority="942" operator="greaterThan">
      <formula>0</formula>
    </cfRule>
    <cfRule type="cellIs" dxfId="425" priority="943" operator="lessThan">
      <formula>0</formula>
    </cfRule>
  </conditionalFormatting>
  <conditionalFormatting sqref="S52">
    <cfRule type="cellIs" dxfId="424" priority="941" operator="lessThan">
      <formula>0</formula>
    </cfRule>
  </conditionalFormatting>
  <conditionalFormatting sqref="P52">
    <cfRule type="cellIs" dxfId="423" priority="939" operator="equal">
      <formula>AS_DURATION_EFFORT</formula>
    </cfRule>
    <cfRule type="cellIs" dxfId="422" priority="940" operator="equal">
      <formula>AS_DEV_EFFORT</formula>
    </cfRule>
  </conditionalFormatting>
  <conditionalFormatting sqref="L52:M52 O52:AC52">
    <cfRule type="expression" dxfId="421" priority="945">
      <formula>AND($G52="Yes", $S$6="Exclude")</formula>
    </cfRule>
    <cfRule type="expression" dxfId="420" priority="946">
      <formula>$J52="Yes"</formula>
    </cfRule>
  </conditionalFormatting>
  <conditionalFormatting sqref="F52">
    <cfRule type="expression" dxfId="419" priority="938">
      <formula>$K52&lt;&gt;""</formula>
    </cfRule>
  </conditionalFormatting>
  <conditionalFormatting sqref="C52">
    <cfRule type="expression" dxfId="418" priority="937">
      <formula>$G52&lt;&gt;"-"</formula>
    </cfRule>
  </conditionalFormatting>
  <conditionalFormatting sqref="D52">
    <cfRule type="expression" dxfId="417" priority="936">
      <formula>$H52&lt;&gt;"-"</formula>
    </cfRule>
  </conditionalFormatting>
  <conditionalFormatting sqref="E52">
    <cfRule type="expression" dxfId="416" priority="935">
      <formula>$I52&lt;&gt;"-"</formula>
    </cfRule>
  </conditionalFormatting>
  <conditionalFormatting sqref="B51">
    <cfRule type="expression" dxfId="415" priority="932">
      <formula>AD51&lt;&gt;""</formula>
    </cfRule>
  </conditionalFormatting>
  <conditionalFormatting sqref="Z51">
    <cfRule type="cellIs" dxfId="414" priority="930" operator="greaterThan">
      <formula>0</formula>
    </cfRule>
    <cfRule type="cellIs" dxfId="413" priority="931" operator="lessThan">
      <formula>0</formula>
    </cfRule>
  </conditionalFormatting>
  <conditionalFormatting sqref="S51">
    <cfRule type="cellIs" dxfId="412" priority="929" operator="lessThan">
      <formula>0</formula>
    </cfRule>
  </conditionalFormatting>
  <conditionalFormatting sqref="P51">
    <cfRule type="cellIs" dxfId="411" priority="927" operator="equal">
      <formula>AS_DURATION_EFFORT</formula>
    </cfRule>
    <cfRule type="cellIs" dxfId="410" priority="928" operator="equal">
      <formula>AS_DEV_EFFORT</formula>
    </cfRule>
  </conditionalFormatting>
  <conditionalFormatting sqref="L51:M51 O51:AC51">
    <cfRule type="expression" dxfId="409" priority="933">
      <formula>AND($G51="Yes", $S$6="Exclude")</formula>
    </cfRule>
    <cfRule type="expression" dxfId="408" priority="934">
      <formula>$J51="Yes"</formula>
    </cfRule>
  </conditionalFormatting>
  <conditionalFormatting sqref="F51">
    <cfRule type="expression" dxfId="407" priority="926">
      <formula>$K51&lt;&gt;""</formula>
    </cfRule>
  </conditionalFormatting>
  <conditionalFormatting sqref="C51">
    <cfRule type="expression" dxfId="406" priority="925">
      <formula>$G51&lt;&gt;"-"</formula>
    </cfRule>
  </conditionalFormatting>
  <conditionalFormatting sqref="D51">
    <cfRule type="expression" dxfId="405" priority="924">
      <formula>$H51&lt;&gt;"-"</formula>
    </cfRule>
  </conditionalFormatting>
  <conditionalFormatting sqref="E51">
    <cfRule type="expression" dxfId="404" priority="923">
      <formula>$I51&lt;&gt;"-"</formula>
    </cfRule>
  </conditionalFormatting>
  <conditionalFormatting sqref="B50">
    <cfRule type="expression" dxfId="403" priority="920">
      <formula>AD50&lt;&gt;""</formula>
    </cfRule>
  </conditionalFormatting>
  <conditionalFormatting sqref="Z50">
    <cfRule type="cellIs" dxfId="402" priority="918" operator="greaterThan">
      <formula>0</formula>
    </cfRule>
    <cfRule type="cellIs" dxfId="401" priority="919" operator="lessThan">
      <formula>0</formula>
    </cfRule>
  </conditionalFormatting>
  <conditionalFormatting sqref="S50">
    <cfRule type="cellIs" dxfId="400" priority="917" operator="lessThan">
      <formula>0</formula>
    </cfRule>
  </conditionalFormatting>
  <conditionalFormatting sqref="P50">
    <cfRule type="cellIs" dxfId="399" priority="915" operator="equal">
      <formula>AS_DURATION_EFFORT</formula>
    </cfRule>
    <cfRule type="cellIs" dxfId="398" priority="916" operator="equal">
      <formula>AS_DEV_EFFORT</formula>
    </cfRule>
  </conditionalFormatting>
  <conditionalFormatting sqref="L50:M50 O50:AC50">
    <cfRule type="expression" dxfId="397" priority="921">
      <formula>AND($G50="Yes", $S$6="Exclude")</formula>
    </cfRule>
    <cfRule type="expression" dxfId="396" priority="922">
      <formula>$J50="Yes"</formula>
    </cfRule>
  </conditionalFormatting>
  <conditionalFormatting sqref="F50">
    <cfRule type="expression" dxfId="395" priority="914">
      <formula>$K50&lt;&gt;""</formula>
    </cfRule>
  </conditionalFormatting>
  <conditionalFormatting sqref="C50">
    <cfRule type="expression" dxfId="394" priority="913">
      <formula>$G50&lt;&gt;"-"</formula>
    </cfRule>
  </conditionalFormatting>
  <conditionalFormatting sqref="D50">
    <cfRule type="expression" dxfId="393" priority="912">
      <formula>$H50&lt;&gt;"-"</formula>
    </cfRule>
  </conditionalFormatting>
  <conditionalFormatting sqref="E50">
    <cfRule type="expression" dxfId="392" priority="911">
      <formula>$I50&lt;&gt;"-"</formula>
    </cfRule>
  </conditionalFormatting>
  <conditionalFormatting sqref="N49:N54">
    <cfRule type="expression" dxfId="391" priority="909">
      <formula>AND($G49="Yes", $S$6="Exclude")</formula>
    </cfRule>
    <cfRule type="expression" dxfId="390" priority="910">
      <formula>$J49="Yes"</formula>
    </cfRule>
  </conditionalFormatting>
  <conditionalFormatting sqref="B62">
    <cfRule type="expression" dxfId="389" priority="906">
      <formula>AD62&lt;&gt;""</formula>
    </cfRule>
  </conditionalFormatting>
  <conditionalFormatting sqref="Z62">
    <cfRule type="cellIs" dxfId="388" priority="904" operator="greaterThan">
      <formula>0</formula>
    </cfRule>
    <cfRule type="cellIs" dxfId="387" priority="905" operator="lessThan">
      <formula>0</formula>
    </cfRule>
  </conditionalFormatting>
  <conditionalFormatting sqref="S62">
    <cfRule type="cellIs" dxfId="386" priority="903" operator="lessThan">
      <formula>0</formula>
    </cfRule>
  </conditionalFormatting>
  <conditionalFormatting sqref="P62">
    <cfRule type="cellIs" dxfId="385" priority="901" operator="equal">
      <formula>AS_DURATION_EFFORT</formula>
    </cfRule>
    <cfRule type="cellIs" dxfId="384" priority="902" operator="equal">
      <formula>AS_DEV_EFFORT</formula>
    </cfRule>
  </conditionalFormatting>
  <conditionalFormatting sqref="L62:M62 P62:AC62">
    <cfRule type="expression" dxfId="383" priority="907">
      <formula>AND($G62="Yes", $S$6="Exclude")</formula>
    </cfRule>
    <cfRule type="expression" dxfId="382" priority="908">
      <formula>$J62="Yes"</formula>
    </cfRule>
  </conditionalFormatting>
  <conditionalFormatting sqref="F62">
    <cfRule type="expression" dxfId="381" priority="900">
      <formula>$K62&lt;&gt;""</formula>
    </cfRule>
  </conditionalFormatting>
  <conditionalFormatting sqref="C62">
    <cfRule type="expression" dxfId="380" priority="899">
      <formula>$G62&lt;&gt;"-"</formula>
    </cfRule>
  </conditionalFormatting>
  <conditionalFormatting sqref="D62">
    <cfRule type="expression" dxfId="379" priority="898">
      <formula>$H62&lt;&gt;"-"</formula>
    </cfRule>
  </conditionalFormatting>
  <conditionalFormatting sqref="E62">
    <cfRule type="expression" dxfId="378" priority="897">
      <formula>$I62&lt;&gt;"-"</formula>
    </cfRule>
  </conditionalFormatting>
  <conditionalFormatting sqref="B61">
    <cfRule type="expression" dxfId="377" priority="894">
      <formula>AD61&lt;&gt;""</formula>
    </cfRule>
  </conditionalFormatting>
  <conditionalFormatting sqref="Z61">
    <cfRule type="cellIs" dxfId="376" priority="892" operator="greaterThan">
      <formula>0</formula>
    </cfRule>
    <cfRule type="cellIs" dxfId="375" priority="893" operator="lessThan">
      <formula>0</formula>
    </cfRule>
  </conditionalFormatting>
  <conditionalFormatting sqref="S61">
    <cfRule type="cellIs" dxfId="374" priority="891" operator="lessThan">
      <formula>0</formula>
    </cfRule>
  </conditionalFormatting>
  <conditionalFormatting sqref="P61">
    <cfRule type="cellIs" dxfId="373" priority="889" operator="equal">
      <formula>AS_DURATION_EFFORT</formula>
    </cfRule>
    <cfRule type="cellIs" dxfId="372" priority="890" operator="equal">
      <formula>AS_DEV_EFFORT</formula>
    </cfRule>
  </conditionalFormatting>
  <conditionalFormatting sqref="L61:M61 P61:AC61">
    <cfRule type="expression" dxfId="371" priority="895">
      <formula>AND($G61="Yes", $S$6="Exclude")</formula>
    </cfRule>
    <cfRule type="expression" dxfId="370" priority="896">
      <formula>$J61="Yes"</formula>
    </cfRule>
  </conditionalFormatting>
  <conditionalFormatting sqref="F61">
    <cfRule type="expression" dxfId="369" priority="888">
      <formula>$K61&lt;&gt;""</formula>
    </cfRule>
  </conditionalFormatting>
  <conditionalFormatting sqref="C61">
    <cfRule type="expression" dxfId="368" priority="887">
      <formula>$G61&lt;&gt;"-"</formula>
    </cfRule>
  </conditionalFormatting>
  <conditionalFormatting sqref="D61">
    <cfRule type="expression" dxfId="367" priority="886">
      <formula>$H61&lt;&gt;"-"</formula>
    </cfRule>
  </conditionalFormatting>
  <conditionalFormatting sqref="E61">
    <cfRule type="expression" dxfId="366" priority="885">
      <formula>$I61&lt;&gt;"-"</formula>
    </cfRule>
  </conditionalFormatting>
  <conditionalFormatting sqref="B60">
    <cfRule type="expression" dxfId="365" priority="882">
      <formula>AD60&lt;&gt;""</formula>
    </cfRule>
  </conditionalFormatting>
  <conditionalFormatting sqref="Z60">
    <cfRule type="cellIs" dxfId="364" priority="880" operator="greaterThan">
      <formula>0</formula>
    </cfRule>
    <cfRule type="cellIs" dxfId="363" priority="881" operator="lessThan">
      <formula>0</formula>
    </cfRule>
  </conditionalFormatting>
  <conditionalFormatting sqref="S60">
    <cfRule type="cellIs" dxfId="362" priority="879" operator="lessThan">
      <formula>0</formula>
    </cfRule>
  </conditionalFormatting>
  <conditionalFormatting sqref="P60">
    <cfRule type="cellIs" dxfId="361" priority="877" operator="equal">
      <formula>AS_DURATION_EFFORT</formula>
    </cfRule>
    <cfRule type="cellIs" dxfId="360" priority="878" operator="equal">
      <formula>AS_DEV_EFFORT</formula>
    </cfRule>
  </conditionalFormatting>
  <conditionalFormatting sqref="L60:M60 P60:AC60">
    <cfRule type="expression" dxfId="359" priority="883">
      <formula>AND($G60="Yes", $S$6="Exclude")</formula>
    </cfRule>
    <cfRule type="expression" dxfId="358" priority="884">
      <formula>$J60="Yes"</formula>
    </cfRule>
  </conditionalFormatting>
  <conditionalFormatting sqref="F60">
    <cfRule type="expression" dxfId="357" priority="876">
      <formula>$K60&lt;&gt;""</formula>
    </cfRule>
  </conditionalFormatting>
  <conditionalFormatting sqref="C60">
    <cfRule type="expression" dxfId="356" priority="875">
      <formula>$G60&lt;&gt;"-"</formula>
    </cfRule>
  </conditionalFormatting>
  <conditionalFormatting sqref="D60">
    <cfRule type="expression" dxfId="355" priority="874">
      <formula>$H60&lt;&gt;"-"</formula>
    </cfRule>
  </conditionalFormatting>
  <conditionalFormatting sqref="E60">
    <cfRule type="expression" dxfId="354" priority="873">
      <formula>$I60&lt;&gt;"-"</formula>
    </cfRule>
  </conditionalFormatting>
  <conditionalFormatting sqref="B59">
    <cfRule type="expression" dxfId="353" priority="870">
      <formula>AD59&lt;&gt;""</formula>
    </cfRule>
  </conditionalFormatting>
  <conditionalFormatting sqref="Z59">
    <cfRule type="cellIs" dxfId="352" priority="868" operator="greaterThan">
      <formula>0</formula>
    </cfRule>
    <cfRule type="cellIs" dxfId="351" priority="869" operator="lessThan">
      <formula>0</formula>
    </cfRule>
  </conditionalFormatting>
  <conditionalFormatting sqref="S59">
    <cfRule type="cellIs" dxfId="350" priority="867" operator="lessThan">
      <formula>0</formula>
    </cfRule>
  </conditionalFormatting>
  <conditionalFormatting sqref="P59">
    <cfRule type="cellIs" dxfId="349" priority="865" operator="equal">
      <formula>AS_DURATION_EFFORT</formula>
    </cfRule>
    <cfRule type="cellIs" dxfId="348" priority="866" operator="equal">
      <formula>AS_DEV_EFFORT</formula>
    </cfRule>
  </conditionalFormatting>
  <conditionalFormatting sqref="L59:M59 P59:AC59">
    <cfRule type="expression" dxfId="347" priority="871">
      <formula>AND($G59="Yes", $S$6="Exclude")</formula>
    </cfRule>
    <cfRule type="expression" dxfId="346" priority="872">
      <formula>$J59="Yes"</formula>
    </cfRule>
  </conditionalFormatting>
  <conditionalFormatting sqref="F59">
    <cfRule type="expression" dxfId="345" priority="864">
      <formula>$K59&lt;&gt;""</formula>
    </cfRule>
  </conditionalFormatting>
  <conditionalFormatting sqref="C59">
    <cfRule type="expression" dxfId="344" priority="863">
      <formula>$G59&lt;&gt;"-"</formula>
    </cfRule>
  </conditionalFormatting>
  <conditionalFormatting sqref="D59">
    <cfRule type="expression" dxfId="343" priority="862">
      <formula>$H59&lt;&gt;"-"</formula>
    </cfRule>
  </conditionalFormatting>
  <conditionalFormatting sqref="E59">
    <cfRule type="expression" dxfId="342" priority="861">
      <formula>$I59&lt;&gt;"-"</formula>
    </cfRule>
  </conditionalFormatting>
  <conditionalFormatting sqref="N58:N62">
    <cfRule type="expression" dxfId="341" priority="859">
      <formula>AND($G58="Yes", $S$6="Exclude")</formula>
    </cfRule>
    <cfRule type="expression" dxfId="340" priority="860">
      <formula>$J58="Yes"</formula>
    </cfRule>
  </conditionalFormatting>
  <conditionalFormatting sqref="O58:O62">
    <cfRule type="expression" dxfId="339" priority="857">
      <formula>AND($G58="Yes", $S$6="Exclude")</formula>
    </cfRule>
    <cfRule type="expression" dxfId="338" priority="858">
      <formula>$J58="Yes"</formula>
    </cfRule>
  </conditionalFormatting>
  <conditionalFormatting sqref="B168">
    <cfRule type="expression" dxfId="337" priority="853">
      <formula>AD168&lt;&gt;""</formula>
    </cfRule>
  </conditionalFormatting>
  <conditionalFormatting sqref="Z168">
    <cfRule type="cellIs" dxfId="336" priority="851" operator="greaterThan">
      <formula>0</formula>
    </cfRule>
    <cfRule type="cellIs" dxfId="335" priority="852" operator="lessThan">
      <formula>0</formula>
    </cfRule>
  </conditionalFormatting>
  <conditionalFormatting sqref="S168">
    <cfRule type="cellIs" dxfId="334" priority="850" operator="lessThan">
      <formula>0</formula>
    </cfRule>
  </conditionalFormatting>
  <conditionalFormatting sqref="T166:T167">
    <cfRule type="expression" dxfId="333" priority="854">
      <formula>#REF!="Yes"</formula>
    </cfRule>
  </conditionalFormatting>
  <conditionalFormatting sqref="P168">
    <cfRule type="cellIs" dxfId="332" priority="848" operator="equal">
      <formula>AS_DURATION_EFFORT</formula>
    </cfRule>
    <cfRule type="cellIs" dxfId="331" priority="849" operator="equal">
      <formula>AS_DEV_EFFORT</formula>
    </cfRule>
  </conditionalFormatting>
  <conditionalFormatting sqref="B166:B167">
    <cfRule type="expression" dxfId="330" priority="847">
      <formula>AD166&lt;&gt;""</formula>
    </cfRule>
  </conditionalFormatting>
  <conditionalFormatting sqref="F168">
    <cfRule type="expression" dxfId="329" priority="846">
      <formula>$K168&lt;&gt;""</formula>
    </cfRule>
  </conditionalFormatting>
  <conditionalFormatting sqref="C168">
    <cfRule type="expression" dxfId="328" priority="845">
      <formula>$G168&lt;&gt;"-"</formula>
    </cfRule>
  </conditionalFormatting>
  <conditionalFormatting sqref="D168">
    <cfRule type="expression" dxfId="327" priority="844">
      <formula>$H168&lt;&gt;"-"</formula>
    </cfRule>
  </conditionalFormatting>
  <conditionalFormatting sqref="E168">
    <cfRule type="expression" dxfId="326" priority="843">
      <formula>$I168&lt;&gt;"-"</formula>
    </cfRule>
  </conditionalFormatting>
  <conditionalFormatting sqref="S165">
    <cfRule type="expression" dxfId="325" priority="842">
      <formula>#REF!="Yes"</formula>
    </cfRule>
  </conditionalFormatting>
  <conditionalFormatting sqref="B165">
    <cfRule type="expression" dxfId="324" priority="841">
      <formula>AD165&lt;&gt;""</formula>
    </cfRule>
  </conditionalFormatting>
  <conditionalFormatting sqref="B169">
    <cfRule type="expression" dxfId="323" priority="838">
      <formula>AD169&lt;&gt;""</formula>
    </cfRule>
  </conditionalFormatting>
  <conditionalFormatting sqref="Z169">
    <cfRule type="cellIs" dxfId="322" priority="836" operator="greaterThan">
      <formula>0</formula>
    </cfRule>
    <cfRule type="cellIs" dxfId="321" priority="837" operator="lessThan">
      <formula>0</formula>
    </cfRule>
  </conditionalFormatting>
  <conditionalFormatting sqref="S169">
    <cfRule type="cellIs" dxfId="320" priority="835" operator="lessThan">
      <formula>0</formula>
    </cfRule>
  </conditionalFormatting>
  <conditionalFormatting sqref="P169">
    <cfRule type="cellIs" dxfId="319" priority="833" operator="equal">
      <formula>AS_DURATION_EFFORT</formula>
    </cfRule>
    <cfRule type="cellIs" dxfId="318" priority="834" operator="equal">
      <formula>AS_DEV_EFFORT</formula>
    </cfRule>
  </conditionalFormatting>
  <conditionalFormatting sqref="F169">
    <cfRule type="expression" dxfId="317" priority="832">
      <formula>$K169&lt;&gt;""</formula>
    </cfRule>
  </conditionalFormatting>
  <conditionalFormatting sqref="C169">
    <cfRule type="expression" dxfId="316" priority="831">
      <formula>$G169&lt;&gt;"-"</formula>
    </cfRule>
  </conditionalFormatting>
  <conditionalFormatting sqref="D169">
    <cfRule type="expression" dxfId="315" priority="830">
      <formula>$H169&lt;&gt;"-"</formula>
    </cfRule>
  </conditionalFormatting>
  <conditionalFormatting sqref="E169">
    <cfRule type="expression" dxfId="314" priority="829">
      <formula>$I169&lt;&gt;"-"</formula>
    </cfRule>
  </conditionalFormatting>
  <conditionalFormatting sqref="B183">
    <cfRule type="expression" dxfId="313" priority="427">
      <formula>AD183&lt;&gt;""</formula>
    </cfRule>
  </conditionalFormatting>
  <conditionalFormatting sqref="Z183">
    <cfRule type="cellIs" dxfId="312" priority="425" operator="greaterThan">
      <formula>0</formula>
    </cfRule>
    <cfRule type="cellIs" dxfId="311" priority="426" operator="lessThan">
      <formula>0</formula>
    </cfRule>
  </conditionalFormatting>
  <conditionalFormatting sqref="S183">
    <cfRule type="cellIs" dxfId="310" priority="424" operator="lessThan">
      <formula>0</formula>
    </cfRule>
  </conditionalFormatting>
  <conditionalFormatting sqref="T181:T182">
    <cfRule type="expression" dxfId="309" priority="428">
      <formula>#REF!="Yes"</formula>
    </cfRule>
  </conditionalFormatting>
  <conditionalFormatting sqref="P183">
    <cfRule type="cellIs" dxfId="308" priority="422" operator="equal">
      <formula>AS_DURATION_EFFORT</formula>
    </cfRule>
    <cfRule type="cellIs" dxfId="307" priority="423" operator="equal">
      <formula>AS_DEV_EFFORT</formula>
    </cfRule>
  </conditionalFormatting>
  <conditionalFormatting sqref="B181:B182">
    <cfRule type="expression" dxfId="306" priority="421">
      <formula>AD181&lt;&gt;""</formula>
    </cfRule>
  </conditionalFormatting>
  <conditionalFormatting sqref="F183">
    <cfRule type="expression" dxfId="305" priority="420">
      <formula>$K183&lt;&gt;""</formula>
    </cfRule>
  </conditionalFormatting>
  <conditionalFormatting sqref="C183">
    <cfRule type="expression" dxfId="304" priority="419">
      <formula>$G183&lt;&gt;"-"</formula>
    </cfRule>
  </conditionalFormatting>
  <conditionalFormatting sqref="D183">
    <cfRule type="expression" dxfId="303" priority="418">
      <formula>$H183&lt;&gt;"-"</formula>
    </cfRule>
  </conditionalFormatting>
  <conditionalFormatting sqref="E183">
    <cfRule type="expression" dxfId="302" priority="417">
      <formula>$I183&lt;&gt;"-"</formula>
    </cfRule>
  </conditionalFormatting>
  <conditionalFormatting sqref="B184">
    <cfRule type="expression" dxfId="301" priority="416">
      <formula>AD184&lt;&gt;""</formula>
    </cfRule>
  </conditionalFormatting>
  <conditionalFormatting sqref="Z184">
    <cfRule type="cellIs" dxfId="300" priority="414" operator="greaterThan">
      <formula>0</formula>
    </cfRule>
    <cfRule type="cellIs" dxfId="299" priority="415" operator="lessThan">
      <formula>0</formula>
    </cfRule>
  </conditionalFormatting>
  <conditionalFormatting sqref="S184">
    <cfRule type="cellIs" dxfId="298" priority="413" operator="lessThan">
      <formula>0</formula>
    </cfRule>
  </conditionalFormatting>
  <conditionalFormatting sqref="P184">
    <cfRule type="cellIs" dxfId="297" priority="411" operator="equal">
      <formula>AS_DURATION_EFFORT</formula>
    </cfRule>
    <cfRule type="cellIs" dxfId="296" priority="412" operator="equal">
      <formula>AS_DEV_EFFORT</formula>
    </cfRule>
  </conditionalFormatting>
  <conditionalFormatting sqref="F184">
    <cfRule type="expression" dxfId="295" priority="410">
      <formula>$K184&lt;&gt;""</formula>
    </cfRule>
  </conditionalFormatting>
  <conditionalFormatting sqref="C184">
    <cfRule type="expression" dxfId="294" priority="409">
      <formula>$G184&lt;&gt;"-"</formula>
    </cfRule>
  </conditionalFormatting>
  <conditionalFormatting sqref="D184">
    <cfRule type="expression" dxfId="293" priority="408">
      <formula>$H184&lt;&gt;"-"</formula>
    </cfRule>
  </conditionalFormatting>
  <conditionalFormatting sqref="E184">
    <cfRule type="expression" dxfId="292" priority="407">
      <formula>$I184&lt;&gt;"-"</formula>
    </cfRule>
  </conditionalFormatting>
  <conditionalFormatting sqref="B185">
    <cfRule type="expression" dxfId="291" priority="406">
      <formula>AD185&lt;&gt;""</formula>
    </cfRule>
  </conditionalFormatting>
  <conditionalFormatting sqref="Z185">
    <cfRule type="cellIs" dxfId="290" priority="404" operator="greaterThan">
      <formula>0</formula>
    </cfRule>
    <cfRule type="cellIs" dxfId="289" priority="405" operator="lessThan">
      <formula>0</formula>
    </cfRule>
  </conditionalFormatting>
  <conditionalFormatting sqref="S185">
    <cfRule type="cellIs" dxfId="288" priority="403" operator="lessThan">
      <formula>0</formula>
    </cfRule>
  </conditionalFormatting>
  <conditionalFormatting sqref="P185">
    <cfRule type="cellIs" dxfId="287" priority="401" operator="equal">
      <formula>AS_DURATION_EFFORT</formula>
    </cfRule>
    <cfRule type="cellIs" dxfId="286" priority="402" operator="equal">
      <formula>AS_DEV_EFFORT</formula>
    </cfRule>
  </conditionalFormatting>
  <conditionalFormatting sqref="F185">
    <cfRule type="expression" dxfId="285" priority="400">
      <formula>$K185&lt;&gt;""</formula>
    </cfRule>
  </conditionalFormatting>
  <conditionalFormatting sqref="C185">
    <cfRule type="expression" dxfId="284" priority="399">
      <formula>$G185&lt;&gt;"-"</formula>
    </cfRule>
  </conditionalFormatting>
  <conditionalFormatting sqref="D185">
    <cfRule type="expression" dxfId="283" priority="398">
      <formula>$H185&lt;&gt;"-"</formula>
    </cfRule>
  </conditionalFormatting>
  <conditionalFormatting sqref="E185">
    <cfRule type="expression" dxfId="282" priority="397">
      <formula>$I185&lt;&gt;"-"</formula>
    </cfRule>
  </conditionalFormatting>
  <conditionalFormatting sqref="B186">
    <cfRule type="expression" dxfId="281" priority="396">
      <formula>AD186&lt;&gt;""</formula>
    </cfRule>
  </conditionalFormatting>
  <conditionalFormatting sqref="Z186">
    <cfRule type="cellIs" dxfId="280" priority="394" operator="greaterThan">
      <formula>0</formula>
    </cfRule>
    <cfRule type="cellIs" dxfId="279" priority="395" operator="lessThan">
      <formula>0</formula>
    </cfRule>
  </conditionalFormatting>
  <conditionalFormatting sqref="S186">
    <cfRule type="cellIs" dxfId="278" priority="393" operator="lessThan">
      <formula>0</formula>
    </cfRule>
  </conditionalFormatting>
  <conditionalFormatting sqref="P186">
    <cfRule type="cellIs" dxfId="277" priority="391" operator="equal">
      <formula>AS_DURATION_EFFORT</formula>
    </cfRule>
    <cfRule type="cellIs" dxfId="276" priority="392" operator="equal">
      <formula>AS_DEV_EFFORT</formula>
    </cfRule>
  </conditionalFormatting>
  <conditionalFormatting sqref="F186">
    <cfRule type="expression" dxfId="275" priority="390">
      <formula>$K186&lt;&gt;""</formula>
    </cfRule>
  </conditionalFormatting>
  <conditionalFormatting sqref="C186">
    <cfRule type="expression" dxfId="274" priority="389">
      <formula>$G186&lt;&gt;"-"</formula>
    </cfRule>
  </conditionalFormatting>
  <conditionalFormatting sqref="D186">
    <cfRule type="expression" dxfId="273" priority="388">
      <formula>$H186&lt;&gt;"-"</formula>
    </cfRule>
  </conditionalFormatting>
  <conditionalFormatting sqref="E186">
    <cfRule type="expression" dxfId="272" priority="387">
      <formula>$I186&lt;&gt;"-"</formula>
    </cfRule>
  </conditionalFormatting>
  <conditionalFormatting sqref="B177">
    <cfRule type="expression" dxfId="271" priority="383">
      <formula>AD177&lt;&gt;""</formula>
    </cfRule>
  </conditionalFormatting>
  <conditionalFormatting sqref="Z177">
    <cfRule type="cellIs" dxfId="270" priority="381" operator="greaterThan">
      <formula>0</formula>
    </cfRule>
    <cfRule type="cellIs" dxfId="269" priority="382" operator="lessThan">
      <formula>0</formula>
    </cfRule>
  </conditionalFormatting>
  <conditionalFormatting sqref="S177">
    <cfRule type="cellIs" dxfId="268" priority="380" operator="lessThan">
      <formula>0</formula>
    </cfRule>
  </conditionalFormatting>
  <conditionalFormatting sqref="T175:T176">
    <cfRule type="expression" dxfId="267" priority="384">
      <formula>#REF!="Yes"</formula>
    </cfRule>
  </conditionalFormatting>
  <conditionalFormatting sqref="P177">
    <cfRule type="cellIs" dxfId="266" priority="378" operator="equal">
      <formula>AS_DURATION_EFFORT</formula>
    </cfRule>
    <cfRule type="cellIs" dxfId="265" priority="379" operator="equal">
      <formula>AS_DEV_EFFORT</formula>
    </cfRule>
  </conditionalFormatting>
  <conditionalFormatting sqref="B175:B176">
    <cfRule type="expression" dxfId="264" priority="377">
      <formula>AD175&lt;&gt;""</formula>
    </cfRule>
  </conditionalFormatting>
  <conditionalFormatting sqref="F177">
    <cfRule type="expression" dxfId="263" priority="376">
      <formula>$K177&lt;&gt;""</formula>
    </cfRule>
  </conditionalFormatting>
  <conditionalFormatting sqref="C177">
    <cfRule type="expression" dxfId="262" priority="375">
      <formula>$G177&lt;&gt;"-"</formula>
    </cfRule>
  </conditionalFormatting>
  <conditionalFormatting sqref="D177">
    <cfRule type="expression" dxfId="261" priority="374">
      <formula>$H177&lt;&gt;"-"</formula>
    </cfRule>
  </conditionalFormatting>
  <conditionalFormatting sqref="E177">
    <cfRule type="expression" dxfId="260" priority="373">
      <formula>$I177&lt;&gt;"-"</formula>
    </cfRule>
  </conditionalFormatting>
  <conditionalFormatting sqref="S174">
    <cfRule type="expression" dxfId="259" priority="372">
      <formula>#REF!="Yes"</formula>
    </cfRule>
  </conditionalFormatting>
  <conditionalFormatting sqref="B174">
    <cfRule type="expression" dxfId="258" priority="371">
      <formula>AD174&lt;&gt;""</formula>
    </cfRule>
  </conditionalFormatting>
  <conditionalFormatting sqref="B178">
    <cfRule type="expression" dxfId="257" priority="368">
      <formula>AD178&lt;&gt;""</formula>
    </cfRule>
  </conditionalFormatting>
  <conditionalFormatting sqref="Z178">
    <cfRule type="cellIs" dxfId="256" priority="366" operator="greaterThan">
      <formula>0</formula>
    </cfRule>
    <cfRule type="cellIs" dxfId="255" priority="367" operator="lessThan">
      <formula>0</formula>
    </cfRule>
  </conditionalFormatting>
  <conditionalFormatting sqref="S178">
    <cfRule type="cellIs" dxfId="254" priority="365" operator="lessThan">
      <formula>0</formula>
    </cfRule>
  </conditionalFormatting>
  <conditionalFormatting sqref="F178">
    <cfRule type="expression" dxfId="253" priority="362">
      <formula>$K178&lt;&gt;""</formula>
    </cfRule>
  </conditionalFormatting>
  <conditionalFormatting sqref="C178">
    <cfRule type="expression" dxfId="252" priority="361">
      <formula>$G178&lt;&gt;"-"</formula>
    </cfRule>
  </conditionalFormatting>
  <conditionalFormatting sqref="D178">
    <cfRule type="expression" dxfId="251" priority="360">
      <formula>$H178&lt;&gt;"-"</formula>
    </cfRule>
  </conditionalFormatting>
  <conditionalFormatting sqref="E178">
    <cfRule type="expression" dxfId="250" priority="359">
      <formula>$I178&lt;&gt;"-"</formula>
    </cfRule>
  </conditionalFormatting>
  <conditionalFormatting sqref="P178">
    <cfRule type="cellIs" dxfId="249" priority="353" operator="equal">
      <formula>AS_DURATION_EFFORT</formula>
    </cfRule>
    <cfRule type="cellIs" dxfId="248" priority="354" operator="equal">
      <formula>AS_DEV_EFFORT</formula>
    </cfRule>
  </conditionalFormatting>
  <conditionalFormatting sqref="S180">
    <cfRule type="expression" dxfId="247" priority="352">
      <formula>#REF!="Yes"</formula>
    </cfRule>
  </conditionalFormatting>
  <conditionalFormatting sqref="B180">
    <cfRule type="expression" dxfId="246" priority="351">
      <formula>AD180&lt;&gt;""</formula>
    </cfRule>
  </conditionalFormatting>
  <conditionalFormatting sqref="P191">
    <cfRule type="cellIs" dxfId="245" priority="347" operator="equal">
      <formula>AS_DURATION_EFFORT</formula>
    </cfRule>
    <cfRule type="cellIs" dxfId="244" priority="348" operator="equal">
      <formula>AS_DEV_EFFORT</formula>
    </cfRule>
  </conditionalFormatting>
  <conditionalFormatting sqref="B206">
    <cfRule type="expression" dxfId="243" priority="342">
      <formula>AD206&lt;&gt;""</formula>
    </cfRule>
  </conditionalFormatting>
  <conditionalFormatting sqref="Z206">
    <cfRule type="cellIs" dxfId="242" priority="340" operator="greaterThan">
      <formula>0</formula>
    </cfRule>
    <cfRule type="cellIs" dxfId="241" priority="341" operator="lessThan">
      <formula>0</formula>
    </cfRule>
  </conditionalFormatting>
  <conditionalFormatting sqref="S206">
    <cfRule type="cellIs" dxfId="240" priority="339" operator="lessThan">
      <formula>0</formula>
    </cfRule>
  </conditionalFormatting>
  <conditionalFormatting sqref="P206">
    <cfRule type="cellIs" dxfId="239" priority="337" operator="equal">
      <formula>AS_DURATION_EFFORT</formula>
    </cfRule>
    <cfRule type="cellIs" dxfId="238" priority="338" operator="equal">
      <formula>AS_DEV_EFFORT</formula>
    </cfRule>
  </conditionalFormatting>
  <conditionalFormatting sqref="F206">
    <cfRule type="expression" dxfId="237" priority="336">
      <formula>$K206&lt;&gt;""</formula>
    </cfRule>
  </conditionalFormatting>
  <conditionalFormatting sqref="C206">
    <cfRule type="expression" dxfId="236" priority="335">
      <formula>$G206&lt;&gt;"-"</formula>
    </cfRule>
  </conditionalFormatting>
  <conditionalFormatting sqref="D206">
    <cfRule type="expression" dxfId="235" priority="334">
      <formula>$H206&lt;&gt;"-"</formula>
    </cfRule>
  </conditionalFormatting>
  <conditionalFormatting sqref="E206">
    <cfRule type="expression" dxfId="234" priority="333">
      <formula>$I206&lt;&gt;"-"</formula>
    </cfRule>
  </conditionalFormatting>
  <conditionalFormatting sqref="B207">
    <cfRule type="expression" dxfId="233" priority="330">
      <formula>AD207&lt;&gt;""</formula>
    </cfRule>
  </conditionalFormatting>
  <conditionalFormatting sqref="Z207">
    <cfRule type="cellIs" dxfId="232" priority="328" operator="greaterThan">
      <formula>0</formula>
    </cfRule>
    <cfRule type="cellIs" dxfId="231" priority="329" operator="lessThan">
      <formula>0</formula>
    </cfRule>
  </conditionalFormatting>
  <conditionalFormatting sqref="S207">
    <cfRule type="cellIs" dxfId="230" priority="327" operator="lessThan">
      <formula>0</formula>
    </cfRule>
  </conditionalFormatting>
  <conditionalFormatting sqref="P207">
    <cfRule type="cellIs" dxfId="229" priority="325" operator="equal">
      <formula>AS_DURATION_EFFORT</formula>
    </cfRule>
    <cfRule type="cellIs" dxfId="228" priority="326" operator="equal">
      <formula>AS_DEV_EFFORT</formula>
    </cfRule>
  </conditionalFormatting>
  <conditionalFormatting sqref="F207">
    <cfRule type="expression" dxfId="227" priority="324">
      <formula>$K207&lt;&gt;""</formula>
    </cfRule>
  </conditionalFormatting>
  <conditionalFormatting sqref="C207">
    <cfRule type="expression" dxfId="226" priority="323">
      <formula>$G207&lt;&gt;"-"</formula>
    </cfRule>
  </conditionalFormatting>
  <conditionalFormatting sqref="D207">
    <cfRule type="expression" dxfId="225" priority="322">
      <formula>$H207&lt;&gt;"-"</formula>
    </cfRule>
  </conditionalFormatting>
  <conditionalFormatting sqref="E207">
    <cfRule type="expression" dxfId="224" priority="321">
      <formula>$I207&lt;&gt;"-"</formula>
    </cfRule>
  </conditionalFormatting>
  <conditionalFormatting sqref="Q28">
    <cfRule type="expression" dxfId="223" priority="319">
      <formula>AND($G28="Yes", $S$6="Exclude")</formula>
    </cfRule>
    <cfRule type="expression" dxfId="222" priority="320">
      <formula>$J28="Yes"</formula>
    </cfRule>
  </conditionalFormatting>
  <conditionalFormatting sqref="X30">
    <cfRule type="expression" dxfId="221" priority="317">
      <formula>AND($G30="Yes", $S$6="Exclude")</formula>
    </cfRule>
    <cfRule type="expression" dxfId="220" priority="318">
      <formula>$J30="Yes"</formula>
    </cfRule>
  </conditionalFormatting>
  <conditionalFormatting sqref="Q35:R35">
    <cfRule type="expression" dxfId="219" priority="315">
      <formula>AND($G35="Yes", $S$6="Exclude")</formula>
    </cfRule>
    <cfRule type="expression" dxfId="218" priority="316">
      <formula>$J35="Yes"</formula>
    </cfRule>
  </conditionalFormatting>
  <conditionalFormatting sqref="Q39:R39">
    <cfRule type="expression" dxfId="217" priority="313">
      <formula>AND($G39="Yes", $S$6="Exclude")</formula>
    </cfRule>
    <cfRule type="expression" dxfId="216" priority="314">
      <formula>$J39="Yes"</formula>
    </cfRule>
  </conditionalFormatting>
  <conditionalFormatting sqref="Q38:R38">
    <cfRule type="expression" dxfId="215" priority="311">
      <formula>AND($G38="Yes", $S$6="Exclude")</formula>
    </cfRule>
    <cfRule type="expression" dxfId="214" priority="312">
      <formula>$J38="Yes"</formula>
    </cfRule>
  </conditionalFormatting>
  <conditionalFormatting sqref="Q37:R37">
    <cfRule type="expression" dxfId="213" priority="309">
      <formula>AND($G37="Yes", $S$6="Exclude")</formula>
    </cfRule>
    <cfRule type="expression" dxfId="212" priority="310">
      <formula>$J37="Yes"</formula>
    </cfRule>
  </conditionalFormatting>
  <conditionalFormatting sqref="Q36:R36">
    <cfRule type="expression" dxfId="211" priority="307">
      <formula>AND($G36="Yes", $S$6="Exclude")</formula>
    </cfRule>
    <cfRule type="expression" dxfId="210" priority="308">
      <formula>$J36="Yes"</formula>
    </cfRule>
  </conditionalFormatting>
  <conditionalFormatting sqref="B75">
    <cfRule type="expression" dxfId="209" priority="304">
      <formula>AD75&lt;&gt;""</formula>
    </cfRule>
  </conditionalFormatting>
  <conditionalFormatting sqref="Z75">
    <cfRule type="cellIs" dxfId="208" priority="302" operator="greaterThan">
      <formula>0</formula>
    </cfRule>
    <cfRule type="cellIs" dxfId="207" priority="303" operator="lessThan">
      <formula>0</formula>
    </cfRule>
  </conditionalFormatting>
  <conditionalFormatting sqref="S75">
    <cfRule type="cellIs" dxfId="206" priority="301" operator="lessThan">
      <formula>0</formula>
    </cfRule>
  </conditionalFormatting>
  <conditionalFormatting sqref="P75">
    <cfRule type="cellIs" dxfId="205" priority="299" operator="equal">
      <formula>AS_DURATION_EFFORT</formula>
    </cfRule>
    <cfRule type="cellIs" dxfId="204" priority="300" operator="equal">
      <formula>AS_DEV_EFFORT</formula>
    </cfRule>
  </conditionalFormatting>
  <conditionalFormatting sqref="L75:AC75">
    <cfRule type="expression" dxfId="203" priority="305">
      <formula>AND($G75="Yes", $S$6="Exclude")</formula>
    </cfRule>
    <cfRule type="expression" dxfId="202" priority="306">
      <formula>$J75="Yes"</formula>
    </cfRule>
  </conditionalFormatting>
  <conditionalFormatting sqref="F75">
    <cfRule type="expression" dxfId="201" priority="298">
      <formula>$K75&lt;&gt;""</formula>
    </cfRule>
  </conditionalFormatting>
  <conditionalFormatting sqref="C75">
    <cfRule type="expression" dxfId="200" priority="297">
      <formula>$G75&lt;&gt;"-"</formula>
    </cfRule>
  </conditionalFormatting>
  <conditionalFormatting sqref="D75">
    <cfRule type="expression" dxfId="199" priority="296">
      <formula>$H75&lt;&gt;"-"</formula>
    </cfRule>
  </conditionalFormatting>
  <conditionalFormatting sqref="E75">
    <cfRule type="expression" dxfId="198" priority="295">
      <formula>$I75&lt;&gt;"-"</formula>
    </cfRule>
  </conditionalFormatting>
  <conditionalFormatting sqref="B76">
    <cfRule type="expression" dxfId="197" priority="292">
      <formula>AD76&lt;&gt;""</formula>
    </cfRule>
  </conditionalFormatting>
  <conditionalFormatting sqref="Z76">
    <cfRule type="cellIs" dxfId="196" priority="290" operator="greaterThan">
      <formula>0</formula>
    </cfRule>
    <cfRule type="cellIs" dxfId="195" priority="291" operator="lessThan">
      <formula>0</formula>
    </cfRule>
  </conditionalFormatting>
  <conditionalFormatting sqref="S76">
    <cfRule type="cellIs" dxfId="194" priority="289" operator="lessThan">
      <formula>0</formula>
    </cfRule>
  </conditionalFormatting>
  <conditionalFormatting sqref="P76">
    <cfRule type="cellIs" dxfId="193" priority="287" operator="equal">
      <formula>AS_DURATION_EFFORT</formula>
    </cfRule>
    <cfRule type="cellIs" dxfId="192" priority="288" operator="equal">
      <formula>AS_DEV_EFFORT</formula>
    </cfRule>
  </conditionalFormatting>
  <conditionalFormatting sqref="L76:M76 O76:AC76">
    <cfRule type="expression" dxfId="191" priority="293">
      <formula>AND($G76="Yes", $S$6="Exclude")</formula>
    </cfRule>
    <cfRule type="expression" dxfId="190" priority="294">
      <formula>$J76="Yes"</formula>
    </cfRule>
  </conditionalFormatting>
  <conditionalFormatting sqref="F76">
    <cfRule type="expression" dxfId="189" priority="286">
      <formula>$K76&lt;&gt;""</formula>
    </cfRule>
  </conditionalFormatting>
  <conditionalFormatting sqref="C76">
    <cfRule type="expression" dxfId="188" priority="285">
      <formula>$G76&lt;&gt;"-"</formula>
    </cfRule>
  </conditionalFormatting>
  <conditionalFormatting sqref="D76">
    <cfRule type="expression" dxfId="187" priority="284">
      <formula>$H76&lt;&gt;"-"</formula>
    </cfRule>
  </conditionalFormatting>
  <conditionalFormatting sqref="E76">
    <cfRule type="expression" dxfId="186" priority="283">
      <formula>$I76&lt;&gt;"-"</formula>
    </cfRule>
  </conditionalFormatting>
  <conditionalFormatting sqref="N76">
    <cfRule type="expression" dxfId="185" priority="281">
      <formula>AND($G76="Yes", $S$6="Exclude")</formula>
    </cfRule>
    <cfRule type="expression" dxfId="184" priority="282">
      <formula>$J76="Yes"</formula>
    </cfRule>
  </conditionalFormatting>
  <conditionalFormatting sqref="N107:N110">
    <cfRule type="expression" dxfId="183" priority="279">
      <formula>AND($G107="Yes", $S$6="Exclude")</formula>
    </cfRule>
    <cfRule type="expression" dxfId="182" priority="280">
      <formula>$J107="Yes"</formula>
    </cfRule>
  </conditionalFormatting>
  <conditionalFormatting sqref="B115">
    <cfRule type="expression" dxfId="181" priority="261">
      <formula>AD115&lt;&gt;""</formula>
    </cfRule>
  </conditionalFormatting>
  <conditionalFormatting sqref="Z115">
    <cfRule type="cellIs" dxfId="180" priority="259" operator="greaterThan">
      <formula>0</formula>
    </cfRule>
    <cfRule type="cellIs" dxfId="179" priority="260" operator="lessThan">
      <formula>0</formula>
    </cfRule>
  </conditionalFormatting>
  <conditionalFormatting sqref="S115">
    <cfRule type="cellIs" dxfId="178" priority="258" operator="lessThan">
      <formula>0</formula>
    </cfRule>
  </conditionalFormatting>
  <conditionalFormatting sqref="T113:T114">
    <cfRule type="expression" dxfId="177" priority="262">
      <formula>#REF!="Yes"</formula>
    </cfRule>
  </conditionalFormatting>
  <conditionalFormatting sqref="P115">
    <cfRule type="cellIs" dxfId="176" priority="256" operator="equal">
      <formula>AS_DURATION_EFFORT</formula>
    </cfRule>
    <cfRule type="cellIs" dxfId="175" priority="257" operator="equal">
      <formula>AS_DEV_EFFORT</formula>
    </cfRule>
  </conditionalFormatting>
  <conditionalFormatting sqref="B113:B114">
    <cfRule type="expression" dxfId="174" priority="255">
      <formula>AD113&lt;&gt;""</formula>
    </cfRule>
  </conditionalFormatting>
  <conditionalFormatting sqref="L115:AC115">
    <cfRule type="expression" dxfId="173" priority="263">
      <formula>AND($G115="Yes", $S$6="Exclude")</formula>
    </cfRule>
    <cfRule type="expression" dxfId="172" priority="264">
      <formula>$J115="Yes"</formula>
    </cfRule>
  </conditionalFormatting>
  <conditionalFormatting sqref="F115">
    <cfRule type="expression" dxfId="171" priority="254">
      <formula>$K115&lt;&gt;""</formula>
    </cfRule>
  </conditionalFormatting>
  <conditionalFormatting sqref="C115">
    <cfRule type="expression" dxfId="170" priority="253">
      <formula>$G115&lt;&gt;"-"</formula>
    </cfRule>
  </conditionalFormatting>
  <conditionalFormatting sqref="D115">
    <cfRule type="expression" dxfId="169" priority="252">
      <formula>$H115&lt;&gt;"-"</formula>
    </cfRule>
  </conditionalFormatting>
  <conditionalFormatting sqref="E115">
    <cfRule type="expression" dxfId="168" priority="251">
      <formula>$I115&lt;&gt;"-"</formula>
    </cfRule>
  </conditionalFormatting>
  <conditionalFormatting sqref="B116">
    <cfRule type="expression" dxfId="167" priority="248">
      <formula>AD116&lt;&gt;""</formula>
    </cfRule>
  </conditionalFormatting>
  <conditionalFormatting sqref="Z116">
    <cfRule type="cellIs" dxfId="166" priority="246" operator="greaterThan">
      <formula>0</formula>
    </cfRule>
    <cfRule type="cellIs" dxfId="165" priority="247" operator="lessThan">
      <formula>0</formula>
    </cfRule>
  </conditionalFormatting>
  <conditionalFormatting sqref="S116">
    <cfRule type="cellIs" dxfId="164" priority="245" operator="lessThan">
      <formula>0</formula>
    </cfRule>
  </conditionalFormatting>
  <conditionalFormatting sqref="P116">
    <cfRule type="cellIs" dxfId="163" priority="243" operator="equal">
      <formula>AS_DURATION_EFFORT</formula>
    </cfRule>
    <cfRule type="cellIs" dxfId="162" priority="244" operator="equal">
      <formula>AS_DEV_EFFORT</formula>
    </cfRule>
  </conditionalFormatting>
  <conditionalFormatting sqref="L116:AC116">
    <cfRule type="expression" dxfId="161" priority="249">
      <formula>AND($G116="Yes", $S$6="Exclude")</formula>
    </cfRule>
    <cfRule type="expression" dxfId="160" priority="250">
      <formula>$J116="Yes"</formula>
    </cfRule>
  </conditionalFormatting>
  <conditionalFormatting sqref="F116">
    <cfRule type="expression" dxfId="159" priority="242">
      <formula>$K116&lt;&gt;""</formula>
    </cfRule>
  </conditionalFormatting>
  <conditionalFormatting sqref="C116">
    <cfRule type="expression" dxfId="158" priority="241">
      <formula>$G116&lt;&gt;"-"</formula>
    </cfRule>
  </conditionalFormatting>
  <conditionalFormatting sqref="D116">
    <cfRule type="expression" dxfId="157" priority="240">
      <formula>$H116&lt;&gt;"-"</formula>
    </cfRule>
  </conditionalFormatting>
  <conditionalFormatting sqref="E116">
    <cfRule type="expression" dxfId="156" priority="239">
      <formula>$I116&lt;&gt;"-"</formula>
    </cfRule>
  </conditionalFormatting>
  <conditionalFormatting sqref="B120">
    <cfRule type="expression" dxfId="155" priority="235">
      <formula>AD120&lt;&gt;""</formula>
    </cfRule>
  </conditionalFormatting>
  <conditionalFormatting sqref="Z120">
    <cfRule type="cellIs" dxfId="154" priority="233" operator="greaterThan">
      <formula>0</formula>
    </cfRule>
    <cfRule type="cellIs" dxfId="153" priority="234" operator="lessThan">
      <formula>0</formula>
    </cfRule>
  </conditionalFormatting>
  <conditionalFormatting sqref="S120">
    <cfRule type="cellIs" dxfId="152" priority="232" operator="lessThan">
      <formula>0</formula>
    </cfRule>
  </conditionalFormatting>
  <conditionalFormatting sqref="T118:T119">
    <cfRule type="expression" dxfId="151" priority="236">
      <formula>#REF!="Yes"</formula>
    </cfRule>
  </conditionalFormatting>
  <conditionalFormatting sqref="P120">
    <cfRule type="cellIs" dxfId="150" priority="230" operator="equal">
      <formula>AS_DURATION_EFFORT</formula>
    </cfRule>
    <cfRule type="cellIs" dxfId="149" priority="231" operator="equal">
      <formula>AS_DEV_EFFORT</formula>
    </cfRule>
  </conditionalFormatting>
  <conditionalFormatting sqref="B118:B119">
    <cfRule type="expression" dxfId="148" priority="229">
      <formula>AD118&lt;&gt;""</formula>
    </cfRule>
  </conditionalFormatting>
  <conditionalFormatting sqref="L120:AC120">
    <cfRule type="expression" dxfId="147" priority="237">
      <formula>AND($G120="Yes", $S$6="Exclude")</formula>
    </cfRule>
    <cfRule type="expression" dxfId="146" priority="238">
      <formula>$J120="Yes"</formula>
    </cfRule>
  </conditionalFormatting>
  <conditionalFormatting sqref="F120">
    <cfRule type="expression" dxfId="145" priority="228">
      <formula>$K120&lt;&gt;""</formula>
    </cfRule>
  </conditionalFormatting>
  <conditionalFormatting sqref="C120">
    <cfRule type="expression" dxfId="144" priority="227">
      <formula>$G120&lt;&gt;"-"</formula>
    </cfRule>
  </conditionalFormatting>
  <conditionalFormatting sqref="D120">
    <cfRule type="expression" dxfId="143" priority="226">
      <formula>$H120&lt;&gt;"-"</formula>
    </cfRule>
  </conditionalFormatting>
  <conditionalFormatting sqref="E120">
    <cfRule type="expression" dxfId="142" priority="225">
      <formula>$I120&lt;&gt;"-"</formula>
    </cfRule>
  </conditionalFormatting>
  <conditionalFormatting sqref="B124">
    <cfRule type="expression" dxfId="141" priority="221">
      <formula>AD124&lt;&gt;""</formula>
    </cfRule>
  </conditionalFormatting>
  <conditionalFormatting sqref="Z124">
    <cfRule type="cellIs" dxfId="140" priority="219" operator="greaterThan">
      <formula>0</formula>
    </cfRule>
    <cfRule type="cellIs" dxfId="139" priority="220" operator="lessThan">
      <formula>0</formula>
    </cfRule>
  </conditionalFormatting>
  <conditionalFormatting sqref="S124">
    <cfRule type="cellIs" dxfId="138" priority="218" operator="lessThan">
      <formula>0</formula>
    </cfRule>
  </conditionalFormatting>
  <conditionalFormatting sqref="T122:T123">
    <cfRule type="expression" dxfId="137" priority="222">
      <formula>#REF!="Yes"</formula>
    </cfRule>
  </conditionalFormatting>
  <conditionalFormatting sqref="P124">
    <cfRule type="cellIs" dxfId="136" priority="216" operator="equal">
      <formula>AS_DURATION_EFFORT</formula>
    </cfRule>
    <cfRule type="cellIs" dxfId="135" priority="217" operator="equal">
      <formula>AS_DEV_EFFORT</formula>
    </cfRule>
  </conditionalFormatting>
  <conditionalFormatting sqref="B122:B123">
    <cfRule type="expression" dxfId="134" priority="215">
      <formula>AD122&lt;&gt;""</formula>
    </cfRule>
  </conditionalFormatting>
  <conditionalFormatting sqref="L124:AC124">
    <cfRule type="expression" dxfId="133" priority="223">
      <formula>AND($G124="Yes", $S$6="Exclude")</formula>
    </cfRule>
    <cfRule type="expression" dxfId="132" priority="224">
      <formula>$J124="Yes"</formula>
    </cfRule>
  </conditionalFormatting>
  <conditionalFormatting sqref="F124">
    <cfRule type="expression" dxfId="131" priority="214">
      <formula>$K124&lt;&gt;""</formula>
    </cfRule>
  </conditionalFormatting>
  <conditionalFormatting sqref="C124">
    <cfRule type="expression" dxfId="130" priority="213">
      <formula>$G124&lt;&gt;"-"</formula>
    </cfRule>
  </conditionalFormatting>
  <conditionalFormatting sqref="D124">
    <cfRule type="expression" dxfId="129" priority="212">
      <formula>$H124&lt;&gt;"-"</formula>
    </cfRule>
  </conditionalFormatting>
  <conditionalFormatting sqref="E124">
    <cfRule type="expression" dxfId="128" priority="211">
      <formula>$I124&lt;&gt;"-"</formula>
    </cfRule>
  </conditionalFormatting>
  <conditionalFormatting sqref="B132">
    <cfRule type="expression" dxfId="127" priority="193">
      <formula>AD132&lt;&gt;""</formula>
    </cfRule>
  </conditionalFormatting>
  <conditionalFormatting sqref="Z132">
    <cfRule type="cellIs" dxfId="126" priority="191" operator="greaterThan">
      <formula>0</formula>
    </cfRule>
    <cfRule type="cellIs" dxfId="125" priority="192" operator="lessThan">
      <formula>0</formula>
    </cfRule>
  </conditionalFormatting>
  <conditionalFormatting sqref="S132">
    <cfRule type="cellIs" dxfId="124" priority="190" operator="lessThan">
      <formula>0</formula>
    </cfRule>
  </conditionalFormatting>
  <conditionalFormatting sqref="T130:T131">
    <cfRule type="expression" dxfId="123" priority="194">
      <formula>#REF!="Yes"</formula>
    </cfRule>
  </conditionalFormatting>
  <conditionalFormatting sqref="P132">
    <cfRule type="cellIs" dxfId="122" priority="188" operator="equal">
      <formula>AS_DURATION_EFFORT</formula>
    </cfRule>
    <cfRule type="cellIs" dxfId="121" priority="189" operator="equal">
      <formula>AS_DEV_EFFORT</formula>
    </cfRule>
  </conditionalFormatting>
  <conditionalFormatting sqref="B130:B131">
    <cfRule type="expression" dxfId="120" priority="187">
      <formula>AD130&lt;&gt;""</formula>
    </cfRule>
  </conditionalFormatting>
  <conditionalFormatting sqref="L132:M132 O132:AC132">
    <cfRule type="expression" dxfId="119" priority="195">
      <formula>AND($G132="Yes", $S$6="Exclude")</formula>
    </cfRule>
    <cfRule type="expression" dxfId="118" priority="196">
      <formula>$J132="Yes"</formula>
    </cfRule>
  </conditionalFormatting>
  <conditionalFormatting sqref="F132">
    <cfRule type="expression" dxfId="117" priority="186">
      <formula>$K132&lt;&gt;""</formula>
    </cfRule>
  </conditionalFormatting>
  <conditionalFormatting sqref="C132">
    <cfRule type="expression" dxfId="116" priority="185">
      <formula>$G132&lt;&gt;"-"</formula>
    </cfRule>
  </conditionalFormatting>
  <conditionalFormatting sqref="D132">
    <cfRule type="expression" dxfId="115" priority="184">
      <formula>$H132&lt;&gt;"-"</formula>
    </cfRule>
  </conditionalFormatting>
  <conditionalFormatting sqref="E132">
    <cfRule type="expression" dxfId="114" priority="183">
      <formula>$I132&lt;&gt;"-"</formula>
    </cfRule>
  </conditionalFormatting>
  <conditionalFormatting sqref="N132">
    <cfRule type="expression" dxfId="113" priority="181">
      <formula>AND($G132="Yes", $S$6="Exclude")</formula>
    </cfRule>
    <cfRule type="expression" dxfId="112" priority="182">
      <formula>$J132="Yes"</formula>
    </cfRule>
  </conditionalFormatting>
  <conditionalFormatting sqref="B128">
    <cfRule type="expression" dxfId="111" priority="163">
      <formula>AD128&lt;&gt;""</formula>
    </cfRule>
  </conditionalFormatting>
  <conditionalFormatting sqref="Z128">
    <cfRule type="cellIs" dxfId="110" priority="161" operator="greaterThan">
      <formula>0</formula>
    </cfRule>
    <cfRule type="cellIs" dxfId="109" priority="162" operator="lessThan">
      <formula>0</formula>
    </cfRule>
  </conditionalFormatting>
  <conditionalFormatting sqref="S128">
    <cfRule type="cellIs" dxfId="108" priority="160" operator="lessThan">
      <formula>0</formula>
    </cfRule>
  </conditionalFormatting>
  <conditionalFormatting sqref="T126:T127">
    <cfRule type="expression" dxfId="107" priority="164">
      <formula>#REF!="Yes"</formula>
    </cfRule>
  </conditionalFormatting>
  <conditionalFormatting sqref="P128">
    <cfRule type="cellIs" dxfId="106" priority="158" operator="equal">
      <formula>AS_DURATION_EFFORT</formula>
    </cfRule>
    <cfRule type="cellIs" dxfId="105" priority="159" operator="equal">
      <formula>AS_DEV_EFFORT</formula>
    </cfRule>
  </conditionalFormatting>
  <conditionalFormatting sqref="B126:B127">
    <cfRule type="expression" dxfId="104" priority="157">
      <formula>AD126&lt;&gt;""</formula>
    </cfRule>
  </conditionalFormatting>
  <conditionalFormatting sqref="L128:AC128">
    <cfRule type="expression" dxfId="103" priority="165">
      <formula>AND($G128="Yes", $S$6="Exclude")</formula>
    </cfRule>
    <cfRule type="expression" dxfId="102" priority="166">
      <formula>$J128="Yes"</formula>
    </cfRule>
  </conditionalFormatting>
  <conditionalFormatting sqref="F128">
    <cfRule type="expression" dxfId="101" priority="156">
      <formula>$K128&lt;&gt;""</formula>
    </cfRule>
  </conditionalFormatting>
  <conditionalFormatting sqref="C128">
    <cfRule type="expression" dxfId="100" priority="155">
      <formula>$G128&lt;&gt;"-"</formula>
    </cfRule>
  </conditionalFormatting>
  <conditionalFormatting sqref="D128">
    <cfRule type="expression" dxfId="99" priority="154">
      <formula>$H128&lt;&gt;"-"</formula>
    </cfRule>
  </conditionalFormatting>
  <conditionalFormatting sqref="E128">
    <cfRule type="expression" dxfId="98" priority="153">
      <formula>$I128&lt;&gt;"-"</formula>
    </cfRule>
  </conditionalFormatting>
  <conditionalFormatting sqref="S134">
    <cfRule type="expression" dxfId="97" priority="152">
      <formula>#REF!="Yes"</formula>
    </cfRule>
  </conditionalFormatting>
  <conditionalFormatting sqref="B134">
    <cfRule type="expression" dxfId="96" priority="151">
      <formula>AD134&lt;&gt;""</formula>
    </cfRule>
  </conditionalFormatting>
  <conditionalFormatting sqref="B143">
    <cfRule type="expression" dxfId="95" priority="133">
      <formula>AD143&lt;&gt;""</formula>
    </cfRule>
  </conditionalFormatting>
  <conditionalFormatting sqref="Z143">
    <cfRule type="cellIs" dxfId="94" priority="131" operator="greaterThan">
      <formula>0</formula>
    </cfRule>
    <cfRule type="cellIs" dxfId="93" priority="132" operator="lessThan">
      <formula>0</formula>
    </cfRule>
  </conditionalFormatting>
  <conditionalFormatting sqref="S143">
    <cfRule type="cellIs" dxfId="92" priority="130" operator="lessThan">
      <formula>0</formula>
    </cfRule>
  </conditionalFormatting>
  <conditionalFormatting sqref="T141:T142">
    <cfRule type="expression" dxfId="91" priority="134">
      <formula>#REF!="Yes"</formula>
    </cfRule>
  </conditionalFormatting>
  <conditionalFormatting sqref="P143">
    <cfRule type="cellIs" dxfId="90" priority="128" operator="equal">
      <formula>AS_DURATION_EFFORT</formula>
    </cfRule>
    <cfRule type="cellIs" dxfId="89" priority="129" operator="equal">
      <formula>AS_DEV_EFFORT</formula>
    </cfRule>
  </conditionalFormatting>
  <conditionalFormatting sqref="B141:B142">
    <cfRule type="expression" dxfId="88" priority="127">
      <formula>AD141&lt;&gt;""</formula>
    </cfRule>
  </conditionalFormatting>
  <conditionalFormatting sqref="L143:M143 O143:AC143">
    <cfRule type="expression" dxfId="87" priority="135">
      <formula>AND($G143="Yes", $S$6="Exclude")</formula>
    </cfRule>
    <cfRule type="expression" dxfId="86" priority="136">
      <formula>$J143="Yes"</formula>
    </cfRule>
  </conditionalFormatting>
  <conditionalFormatting sqref="F143">
    <cfRule type="expression" dxfId="85" priority="126">
      <formula>$K143&lt;&gt;""</formula>
    </cfRule>
  </conditionalFormatting>
  <conditionalFormatting sqref="C143">
    <cfRule type="expression" dxfId="84" priority="125">
      <formula>$G143&lt;&gt;"-"</formula>
    </cfRule>
  </conditionalFormatting>
  <conditionalFormatting sqref="D143">
    <cfRule type="expression" dxfId="83" priority="124">
      <formula>$H143&lt;&gt;"-"</formula>
    </cfRule>
  </conditionalFormatting>
  <conditionalFormatting sqref="E143">
    <cfRule type="expression" dxfId="82" priority="123">
      <formula>$I143&lt;&gt;"-"</formula>
    </cfRule>
  </conditionalFormatting>
  <conditionalFormatting sqref="N143">
    <cfRule type="expression" dxfId="81" priority="119">
      <formula>AND($G143="Yes", $S$6="Exclude")</formula>
    </cfRule>
    <cfRule type="expression" dxfId="80" priority="120">
      <formula>$J143="Yes"</formula>
    </cfRule>
  </conditionalFormatting>
  <conditionalFormatting sqref="B144">
    <cfRule type="expression" dxfId="79" priority="116">
      <formula>AD144&lt;&gt;""</formula>
    </cfRule>
  </conditionalFormatting>
  <conditionalFormatting sqref="Z144">
    <cfRule type="cellIs" dxfId="78" priority="114" operator="greaterThan">
      <formula>0</formula>
    </cfRule>
    <cfRule type="cellIs" dxfId="77" priority="115" operator="lessThan">
      <formula>0</formula>
    </cfRule>
  </conditionalFormatting>
  <conditionalFormatting sqref="S144">
    <cfRule type="cellIs" dxfId="76" priority="113" operator="lessThan">
      <formula>0</formula>
    </cfRule>
  </conditionalFormatting>
  <conditionalFormatting sqref="P144">
    <cfRule type="cellIs" dxfId="75" priority="111" operator="equal">
      <formula>AS_DURATION_EFFORT</formula>
    </cfRule>
    <cfRule type="cellIs" dxfId="74" priority="112" operator="equal">
      <formula>AS_DEV_EFFORT</formula>
    </cfRule>
  </conditionalFormatting>
  <conditionalFormatting sqref="L144:AC144">
    <cfRule type="expression" dxfId="73" priority="117">
      <formula>AND($G144="Yes", $S$6="Exclude")</formula>
    </cfRule>
    <cfRule type="expression" dxfId="72" priority="118">
      <formula>$J144="Yes"</formula>
    </cfRule>
  </conditionalFormatting>
  <conditionalFormatting sqref="F144">
    <cfRule type="expression" dxfId="71" priority="110">
      <formula>$K144&lt;&gt;""</formula>
    </cfRule>
  </conditionalFormatting>
  <conditionalFormatting sqref="C144">
    <cfRule type="expression" dxfId="70" priority="109">
      <formula>$G144&lt;&gt;"-"</formula>
    </cfRule>
  </conditionalFormatting>
  <conditionalFormatting sqref="D144">
    <cfRule type="expression" dxfId="69" priority="108">
      <formula>$H144&lt;&gt;"-"</formula>
    </cfRule>
  </conditionalFormatting>
  <conditionalFormatting sqref="E144">
    <cfRule type="expression" dxfId="68" priority="107">
      <formula>$I144&lt;&gt;"-"</formula>
    </cfRule>
  </conditionalFormatting>
  <conditionalFormatting sqref="S146">
    <cfRule type="expression" dxfId="67" priority="68">
      <formula>#REF!="Yes"</formula>
    </cfRule>
  </conditionalFormatting>
  <conditionalFormatting sqref="B146">
    <cfRule type="expression" dxfId="66" priority="67">
      <formula>AD146&lt;&gt;""</formula>
    </cfRule>
  </conditionalFormatting>
  <conditionalFormatting sqref="B139">
    <cfRule type="expression" dxfId="65" priority="63">
      <formula>AD139&lt;&gt;""</formula>
    </cfRule>
  </conditionalFormatting>
  <conditionalFormatting sqref="Z139">
    <cfRule type="cellIs" dxfId="64" priority="61" operator="greaterThan">
      <formula>0</formula>
    </cfRule>
    <cfRule type="cellIs" dxfId="63" priority="62" operator="lessThan">
      <formula>0</formula>
    </cfRule>
  </conditionalFormatting>
  <conditionalFormatting sqref="S139">
    <cfRule type="cellIs" dxfId="62" priority="60" operator="lessThan">
      <formula>0</formula>
    </cfRule>
  </conditionalFormatting>
  <conditionalFormatting sqref="T135:T136">
    <cfRule type="expression" dxfId="61" priority="64">
      <formula>#REF!="Yes"</formula>
    </cfRule>
  </conditionalFormatting>
  <conditionalFormatting sqref="P139">
    <cfRule type="cellIs" dxfId="60" priority="58" operator="equal">
      <formula>AS_DURATION_EFFORT</formula>
    </cfRule>
    <cfRule type="cellIs" dxfId="59" priority="59" operator="equal">
      <formula>AS_DEV_EFFORT</formula>
    </cfRule>
  </conditionalFormatting>
  <conditionalFormatting sqref="B135:B136">
    <cfRule type="expression" dxfId="58" priority="57">
      <formula>AD135&lt;&gt;""</formula>
    </cfRule>
  </conditionalFormatting>
  <conditionalFormatting sqref="L139:AC139">
    <cfRule type="expression" dxfId="57" priority="65">
      <formula>AND($G139="Yes", $S$6="Exclude")</formula>
    </cfRule>
    <cfRule type="expression" dxfId="56" priority="66">
      <formula>$J139="Yes"</formula>
    </cfRule>
  </conditionalFormatting>
  <conditionalFormatting sqref="F139">
    <cfRule type="expression" dxfId="55" priority="56">
      <formula>$K139&lt;&gt;""</formula>
    </cfRule>
  </conditionalFormatting>
  <conditionalFormatting sqref="C139">
    <cfRule type="expression" dxfId="54" priority="55">
      <formula>$G139&lt;&gt;"-"</formula>
    </cfRule>
  </conditionalFormatting>
  <conditionalFormatting sqref="D139">
    <cfRule type="expression" dxfId="53" priority="54">
      <formula>$H139&lt;&gt;"-"</formula>
    </cfRule>
  </conditionalFormatting>
  <conditionalFormatting sqref="E139">
    <cfRule type="expression" dxfId="52" priority="53">
      <formula>$I139&lt;&gt;"-"</formula>
    </cfRule>
  </conditionalFormatting>
  <conditionalFormatting sqref="B137">
    <cfRule type="expression" dxfId="51" priority="50">
      <formula>AD137&lt;&gt;""</formula>
    </cfRule>
  </conditionalFormatting>
  <conditionalFormatting sqref="Z137">
    <cfRule type="cellIs" dxfId="50" priority="48" operator="greaterThan">
      <formula>0</formula>
    </cfRule>
    <cfRule type="cellIs" dxfId="49" priority="49" operator="lessThan">
      <formula>0</formula>
    </cfRule>
  </conditionalFormatting>
  <conditionalFormatting sqref="S137">
    <cfRule type="cellIs" dxfId="48" priority="47" operator="lessThan">
      <formula>0</formula>
    </cfRule>
  </conditionalFormatting>
  <conditionalFormatting sqref="P137">
    <cfRule type="cellIs" dxfId="47" priority="45" operator="equal">
      <formula>AS_DURATION_EFFORT</formula>
    </cfRule>
    <cfRule type="cellIs" dxfId="46" priority="46" operator="equal">
      <formula>AS_DEV_EFFORT</formula>
    </cfRule>
  </conditionalFormatting>
  <conditionalFormatting sqref="L137:AC137">
    <cfRule type="expression" dxfId="45" priority="51">
      <formula>AND($G137="Yes", $S$6="Exclude")</formula>
    </cfRule>
    <cfRule type="expression" dxfId="44" priority="52">
      <formula>$J137="Yes"</formula>
    </cfRule>
  </conditionalFormatting>
  <conditionalFormatting sqref="F137">
    <cfRule type="expression" dxfId="43" priority="44">
      <formula>$K137&lt;&gt;""</formula>
    </cfRule>
  </conditionalFormatting>
  <conditionalFormatting sqref="C137">
    <cfRule type="expression" dxfId="42" priority="43">
      <formula>$G137&lt;&gt;"-"</formula>
    </cfRule>
  </conditionalFormatting>
  <conditionalFormatting sqref="D137">
    <cfRule type="expression" dxfId="41" priority="42">
      <formula>$H137&lt;&gt;"-"</formula>
    </cfRule>
  </conditionalFormatting>
  <conditionalFormatting sqref="E137">
    <cfRule type="expression" dxfId="40" priority="41">
      <formula>$I137&lt;&gt;"-"</formula>
    </cfRule>
  </conditionalFormatting>
  <conditionalFormatting sqref="B138">
    <cfRule type="expression" dxfId="39" priority="38">
      <formula>AD138&lt;&gt;""</formula>
    </cfRule>
  </conditionalFormatting>
  <conditionalFormatting sqref="Z138">
    <cfRule type="cellIs" dxfId="38" priority="36" operator="greaterThan">
      <formula>0</formula>
    </cfRule>
    <cfRule type="cellIs" dxfId="37" priority="37" operator="lessThan">
      <formula>0</formula>
    </cfRule>
  </conditionalFormatting>
  <conditionalFormatting sqref="S138">
    <cfRule type="cellIs" dxfId="36" priority="35" operator="lessThan">
      <formula>0</formula>
    </cfRule>
  </conditionalFormatting>
  <conditionalFormatting sqref="P138">
    <cfRule type="cellIs" dxfId="35" priority="33" operator="equal">
      <formula>AS_DURATION_EFFORT</formula>
    </cfRule>
    <cfRule type="cellIs" dxfId="34" priority="34" operator="equal">
      <formula>AS_DEV_EFFORT</formula>
    </cfRule>
  </conditionalFormatting>
  <conditionalFormatting sqref="L138:AC138">
    <cfRule type="expression" dxfId="33" priority="39">
      <formula>AND($G138="Yes", $S$6="Exclude")</formula>
    </cfRule>
    <cfRule type="expression" dxfId="32" priority="40">
      <formula>$J138="Yes"</formula>
    </cfRule>
  </conditionalFormatting>
  <conditionalFormatting sqref="F138">
    <cfRule type="expression" dxfId="31" priority="32">
      <formula>$K138&lt;&gt;""</formula>
    </cfRule>
  </conditionalFormatting>
  <conditionalFormatting sqref="C138">
    <cfRule type="expression" dxfId="30" priority="31">
      <formula>$G138&lt;&gt;"-"</formula>
    </cfRule>
  </conditionalFormatting>
  <conditionalFormatting sqref="D138">
    <cfRule type="expression" dxfId="29" priority="30">
      <formula>$H138&lt;&gt;"-"</formula>
    </cfRule>
  </conditionalFormatting>
  <conditionalFormatting sqref="E138">
    <cfRule type="expression" dxfId="28" priority="29">
      <formula>$I138&lt;&gt;"-"</formula>
    </cfRule>
  </conditionalFormatting>
  <conditionalFormatting sqref="B149">
    <cfRule type="expression" dxfId="27" priority="25">
      <formula>AD149&lt;&gt;""</formula>
    </cfRule>
  </conditionalFormatting>
  <conditionalFormatting sqref="Z149">
    <cfRule type="cellIs" dxfId="26" priority="23" operator="greaterThan">
      <formula>0</formula>
    </cfRule>
    <cfRule type="cellIs" dxfId="25" priority="24" operator="lessThan">
      <formula>0</formula>
    </cfRule>
  </conditionalFormatting>
  <conditionalFormatting sqref="S149">
    <cfRule type="cellIs" dxfId="24" priority="22" operator="lessThan">
      <formula>0</formula>
    </cfRule>
  </conditionalFormatting>
  <conditionalFormatting sqref="T147:T148">
    <cfRule type="expression" dxfId="23" priority="26">
      <formula>#REF!="Yes"</formula>
    </cfRule>
  </conditionalFormatting>
  <conditionalFormatting sqref="P149">
    <cfRule type="cellIs" dxfId="22" priority="20" operator="equal">
      <formula>AS_DURATION_EFFORT</formula>
    </cfRule>
    <cfRule type="cellIs" dxfId="21" priority="21" operator="equal">
      <formula>AS_DEV_EFFORT</formula>
    </cfRule>
  </conditionalFormatting>
  <conditionalFormatting sqref="B147:B148">
    <cfRule type="expression" dxfId="20" priority="19">
      <formula>AD147&lt;&gt;""</formula>
    </cfRule>
  </conditionalFormatting>
  <conditionalFormatting sqref="L149:AC149">
    <cfRule type="expression" dxfId="19" priority="27">
      <formula>AND($G149="Yes", $S$6="Exclude")</formula>
    </cfRule>
    <cfRule type="expression" dxfId="18" priority="28">
      <formula>$J149="Yes"</formula>
    </cfRule>
  </conditionalFormatting>
  <conditionalFormatting sqref="F149">
    <cfRule type="expression" dxfId="17" priority="18">
      <formula>$K149&lt;&gt;""</formula>
    </cfRule>
  </conditionalFormatting>
  <conditionalFormatting sqref="C149">
    <cfRule type="expression" dxfId="16" priority="17">
      <formula>$G149&lt;&gt;"-"</formula>
    </cfRule>
  </conditionalFormatting>
  <conditionalFormatting sqref="D149">
    <cfRule type="expression" dxfId="15" priority="16">
      <formula>$H149&lt;&gt;"-"</formula>
    </cfRule>
  </conditionalFormatting>
  <conditionalFormatting sqref="E149">
    <cfRule type="expression" dxfId="14" priority="15">
      <formula>$I149&lt;&gt;"-"</formula>
    </cfRule>
  </conditionalFormatting>
  <conditionalFormatting sqref="B153">
    <cfRule type="expression" dxfId="13" priority="11">
      <formula>AD153&lt;&gt;""</formula>
    </cfRule>
  </conditionalFormatting>
  <conditionalFormatting sqref="Z153">
    <cfRule type="cellIs" dxfId="12" priority="9" operator="greaterThan">
      <formula>0</formula>
    </cfRule>
    <cfRule type="cellIs" dxfId="11" priority="10" operator="lessThan">
      <formula>0</formula>
    </cfRule>
  </conditionalFormatting>
  <conditionalFormatting sqref="S153">
    <cfRule type="cellIs" dxfId="10" priority="8" operator="lessThan">
      <formula>0</formula>
    </cfRule>
  </conditionalFormatting>
  <conditionalFormatting sqref="T151:T152">
    <cfRule type="expression" dxfId="9" priority="12">
      <formula>#REF!="Yes"</formula>
    </cfRule>
  </conditionalFormatting>
  <conditionalFormatting sqref="P153">
    <cfRule type="cellIs" dxfId="8" priority="6" operator="equal">
      <formula>AS_DURATION_EFFORT</formula>
    </cfRule>
    <cfRule type="cellIs" dxfId="7" priority="7" operator="equal">
      <formula>AS_DEV_EFFORT</formula>
    </cfRule>
  </conditionalFormatting>
  <conditionalFormatting sqref="B151:B152">
    <cfRule type="expression" dxfId="6" priority="5">
      <formula>AD151&lt;&gt;""</formula>
    </cfRule>
  </conditionalFormatting>
  <conditionalFormatting sqref="L153:AC153">
    <cfRule type="expression" dxfId="5" priority="13">
      <formula>AND($G153="Yes", $S$6="Exclude")</formula>
    </cfRule>
    <cfRule type="expression" dxfId="4" priority="14">
      <formula>$J153="Yes"</formula>
    </cfRule>
  </conditionalFormatting>
  <conditionalFormatting sqref="F153">
    <cfRule type="expression" dxfId="3" priority="4">
      <formula>$K153&lt;&gt;""</formula>
    </cfRule>
  </conditionalFormatting>
  <conditionalFormatting sqref="C153">
    <cfRule type="expression" dxfId="2" priority="3">
      <formula>$G153&lt;&gt;"-"</formula>
    </cfRule>
  </conditionalFormatting>
  <conditionalFormatting sqref="D153">
    <cfRule type="expression" dxfId="1" priority="2">
      <formula>$H153&lt;&gt;"-"</formula>
    </cfRule>
  </conditionalFormatting>
  <conditionalFormatting sqref="E153">
    <cfRule type="expression" dxfId="0" priority="1">
      <formula>$I153&lt;&gt;"-"</formula>
    </cfRule>
  </conditionalFormatting>
  <dataValidations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295" xr:uid="{00000000-0002-0000-0100-000002000000}">
      <formula1>YES_NO_LIST</formula1>
    </dataValidation>
    <dataValidation type="list" allowBlank="1" showInputMessage="1" showErrorMessage="1" sqref="O292" xr:uid="{00000000-0002-0000-0100-000003000000}">
      <formula1>PLATFORMS_LIST</formula1>
    </dataValidation>
    <dataValidation type="list" allowBlank="1" showInputMessage="1" showErrorMessage="1" sqref="O293" xr:uid="{00000000-0002-0000-0100-000004000000}">
      <formula1>PROJECT_TYPES_LIST</formula1>
    </dataValidation>
    <dataValidation type="list" allowBlank="1" showInputMessage="1" showErrorMessage="1" sqref="O297" xr:uid="{00000000-0002-0000-0100-000005000000}">
      <formula1>CURRENCIES_LIST</formula1>
    </dataValidation>
    <dataValidation type="list" allowBlank="1" showInputMessage="1" showErrorMessage="1" sqref="O296" xr:uid="{00000000-0002-0000-0100-000006000000}">
      <formula1>REGIONS_LIST</formula1>
    </dataValidation>
    <dataValidation type="list" showInputMessage="1" showErrorMessage="1" sqref="G413 J413 G16:G18 J69:J70 J158:J159 J163 J107:J110 G100:G103 J237 G74:G76 G202:G207 J80:J83 G69:G70 G80:G83 J100:J103 G107:G110 G163 G158:G159 J190:J191 G190:G191 J195:J198 G195:G198 J202:J207 G177:G178 J214:J215 G214:G215 G219 J219 J223 G223 J227:J230 G227:G230 G237 J16:J18 J22:J24 G28:G31 J35:J39 J43:J45 G49:G54 G22:G24 J28:J31 G35:G39 G43:G45 J49:J54 G58:G62 J58:J62 J168:J169 G168:G169 G183:G186 J183:J186 J177:J178 J74:J76 G87:G93 J87:J93 J115:J116 G115:G116 G120 J120 G124 J124 G132 J132 G128 J128 J143:J144 G143:G144 J137:J139 G137:G139 G149 J149 G153 J153" xr:uid="{00000000-0002-0000-0100-000007000000}">
      <formula1>YES_NO_LIST</formula1>
    </dataValidation>
    <dataValidation type="list" showInputMessage="1" showErrorMessage="1" sqref="I413 I163 I107:I110 I100:I103 I237 I202:I207 I69:I70 I80:I83 I158:I159 I190:I191 I195:I198 I177:I178 I214:I215 I219 I223 I227:I230 I16:I18 I22:I24 I28:I31 I35:I39 I43:I45 I49:I54 I58:I62 I168:I169 I183:I186 I74:I76 I87:I93 I115:I116 I120 I124 I132 I128 I143:I144 I137:I139 I149 I153" xr:uid="{00000000-0002-0000-0100-000008000000}">
      <formula1>EXTRAS_LIST</formula1>
    </dataValidation>
    <dataValidation type="list" showInputMessage="1" showErrorMessage="1" sqref="H413 H163 H107:H110 H100:H103 H237 H202:H207 H69:H70 H80:H83 H158:H159 H190:H191 H195:H198 H177:H178 H214:H215 H219 H223 H227:H230 H16:H18 H22:H24 H28:H31 H35:H39 H43:H45 H49:H54 H58:H62 H168:H169 H183:H186 H74:H76 H87:H93 H115:H116 H120 H124 H132 H128 H143:H144 H137:H139 H149 H153" xr:uid="{00000000-0002-0000-0100-000009000000}">
      <formula1>BUFFER_TYPES_LIST</formula1>
    </dataValidation>
    <dataValidation type="list" showInputMessage="1" showErrorMessage="1" sqref="S247" xr:uid="{00000000-0002-0000-0100-00000A000000}">
      <formula1>"Default, Extended"</formula1>
    </dataValidation>
  </dataValidations>
  <hyperlinks>
    <hyperlink ref="T283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247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22860</xdr:colOff>
                    <xdr:row>8</xdr:row>
                    <xdr:rowOff>15240</xdr:rowOff>
                  </from>
                  <to>
                    <xdr:col>13</xdr:col>
                    <xdr:colOff>76200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129540</xdr:colOff>
                    <xdr:row>8</xdr:row>
                    <xdr:rowOff>15240</xdr:rowOff>
                  </from>
                  <to>
                    <xdr:col>13</xdr:col>
                    <xdr:colOff>822960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15240</xdr:rowOff>
                  </from>
                  <to>
                    <xdr:col>13</xdr:col>
                    <xdr:colOff>2301240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2339340</xdr:colOff>
                    <xdr:row>8</xdr:row>
                    <xdr:rowOff>15240</xdr:rowOff>
                  </from>
                  <to>
                    <xdr:col>14</xdr:col>
                    <xdr:colOff>190500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15240</xdr:rowOff>
                  </from>
                  <to>
                    <xdr:col>15</xdr:col>
                    <xdr:colOff>15240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861060</xdr:colOff>
                    <xdr:row>8</xdr:row>
                    <xdr:rowOff>15240</xdr:rowOff>
                  </from>
                  <to>
                    <xdr:col>13</xdr:col>
                    <xdr:colOff>1554480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35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zoomScaleNormal="100" workbookViewId="0">
      <selection activeCell="M19" sqref="M19"/>
    </sheetView>
  </sheetViews>
  <sheetFormatPr defaultColWidth="3.77734375" defaultRowHeight="14.4" x14ac:dyDescent="0.3"/>
  <cols>
    <col min="2" max="2" width="38.44140625" customWidth="1"/>
    <col min="3" max="4" width="3.77734375" customWidth="1"/>
  </cols>
  <sheetData>
    <row r="1" spans="2:38" ht="15" customHeight="1" x14ac:dyDescent="0.3">
      <c r="B1" s="70" t="s">
        <v>91</v>
      </c>
      <c r="C1" s="339">
        <f>START_DATE</f>
        <v>42583</v>
      </c>
      <c r="D1" s="339"/>
      <c r="E1" s="339"/>
      <c r="F1" s="339"/>
      <c r="I1" s="1" t="s">
        <v>95</v>
      </c>
      <c r="L1" s="340">
        <v>41583</v>
      </c>
      <c r="M1" s="340"/>
      <c r="N1" s="340"/>
      <c r="O1" s="340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</row>
    <row r="2" spans="2:38" x14ac:dyDescent="0.3">
      <c r="B2" s="135" t="s">
        <v>122</v>
      </c>
      <c r="C2" s="136" t="s">
        <v>123</v>
      </c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</row>
    <row r="3" spans="2:38" x14ac:dyDescent="0.3">
      <c r="B3" s="70" t="s">
        <v>93</v>
      </c>
      <c r="C3" s="337">
        <v>1</v>
      </c>
      <c r="D3" s="338"/>
      <c r="E3" s="338"/>
      <c r="F3" s="341"/>
      <c r="G3" s="337">
        <f>C3+1</f>
        <v>2</v>
      </c>
      <c r="H3" s="338"/>
      <c r="I3" s="338"/>
      <c r="J3" s="338"/>
      <c r="K3" s="337">
        <f>G3+1</f>
        <v>3</v>
      </c>
      <c r="L3" s="338"/>
      <c r="M3" s="338"/>
      <c r="N3" s="338"/>
      <c r="O3" s="337">
        <f>K3+1</f>
        <v>4</v>
      </c>
      <c r="P3" s="338"/>
      <c r="Q3" s="338"/>
      <c r="R3" s="338"/>
      <c r="S3" s="337">
        <f>O3+1</f>
        <v>5</v>
      </c>
      <c r="T3" s="338"/>
      <c r="U3" s="338"/>
      <c r="V3" s="338"/>
      <c r="W3" s="337">
        <f>S3+1</f>
        <v>6</v>
      </c>
      <c r="X3" s="338"/>
      <c r="Y3" s="338"/>
      <c r="Z3" s="338"/>
      <c r="AA3" s="337">
        <f>W3+1</f>
        <v>7</v>
      </c>
      <c r="AB3" s="338"/>
      <c r="AC3" s="338"/>
      <c r="AD3" s="338"/>
      <c r="AE3" s="337">
        <f>AA3+1</f>
        <v>8</v>
      </c>
      <c r="AF3" s="338"/>
      <c r="AG3" s="338"/>
      <c r="AH3" s="338"/>
      <c r="AI3" s="337">
        <f>AE3+1</f>
        <v>9</v>
      </c>
      <c r="AJ3" s="338"/>
      <c r="AK3" s="338"/>
      <c r="AL3" s="338"/>
    </row>
    <row r="4" spans="2:38" ht="45.75" customHeight="1" x14ac:dyDescent="0.3">
      <c r="B4" s="71" t="s">
        <v>94</v>
      </c>
      <c r="C4" s="72">
        <f>START_DATE</f>
        <v>42583</v>
      </c>
      <c r="D4" s="73">
        <f t="shared" ref="D4:AL4" si="0">WORKDAY(C4,5)</f>
        <v>42590</v>
      </c>
      <c r="E4" s="73">
        <f t="shared" si="0"/>
        <v>42597</v>
      </c>
      <c r="F4" s="74">
        <f t="shared" si="0"/>
        <v>42604</v>
      </c>
      <c r="G4" s="72">
        <f t="shared" si="0"/>
        <v>42611</v>
      </c>
      <c r="H4" s="73">
        <f t="shared" si="0"/>
        <v>42618</v>
      </c>
      <c r="I4" s="73">
        <f t="shared" si="0"/>
        <v>42625</v>
      </c>
      <c r="J4" s="73">
        <f t="shared" si="0"/>
        <v>42632</v>
      </c>
      <c r="K4" s="72">
        <f t="shared" si="0"/>
        <v>42639</v>
      </c>
      <c r="L4" s="73">
        <f t="shared" si="0"/>
        <v>42646</v>
      </c>
      <c r="M4" s="73">
        <f t="shared" si="0"/>
        <v>42653</v>
      </c>
      <c r="N4" s="73">
        <f t="shared" si="0"/>
        <v>42660</v>
      </c>
      <c r="O4" s="72">
        <f t="shared" si="0"/>
        <v>42667</v>
      </c>
      <c r="P4" s="73">
        <f t="shared" si="0"/>
        <v>42674</v>
      </c>
      <c r="Q4" s="73">
        <f t="shared" si="0"/>
        <v>42681</v>
      </c>
      <c r="R4" s="73">
        <f t="shared" si="0"/>
        <v>42688</v>
      </c>
      <c r="S4" s="72">
        <f t="shared" si="0"/>
        <v>42695</v>
      </c>
      <c r="T4" s="73">
        <f t="shared" si="0"/>
        <v>42702</v>
      </c>
      <c r="U4" s="73">
        <f t="shared" si="0"/>
        <v>42709</v>
      </c>
      <c r="V4" s="73">
        <f t="shared" si="0"/>
        <v>42716</v>
      </c>
      <c r="W4" s="72">
        <f t="shared" si="0"/>
        <v>42723</v>
      </c>
      <c r="X4" s="73">
        <f t="shared" si="0"/>
        <v>42730</v>
      </c>
      <c r="Y4" s="73">
        <f t="shared" si="0"/>
        <v>42737</v>
      </c>
      <c r="Z4" s="73">
        <f t="shared" si="0"/>
        <v>42744</v>
      </c>
      <c r="AA4" s="72">
        <f t="shared" si="0"/>
        <v>42751</v>
      </c>
      <c r="AB4" s="73">
        <f t="shared" si="0"/>
        <v>42758</v>
      </c>
      <c r="AC4" s="73">
        <f t="shared" si="0"/>
        <v>42765</v>
      </c>
      <c r="AD4" s="73">
        <f t="shared" si="0"/>
        <v>42772</v>
      </c>
      <c r="AE4" s="72">
        <f t="shared" si="0"/>
        <v>42779</v>
      </c>
      <c r="AF4" s="73">
        <f t="shared" si="0"/>
        <v>42786</v>
      </c>
      <c r="AG4" s="73">
        <f t="shared" si="0"/>
        <v>42793</v>
      </c>
      <c r="AH4" s="73">
        <f t="shared" si="0"/>
        <v>42800</v>
      </c>
      <c r="AI4" s="72">
        <f t="shared" si="0"/>
        <v>42807</v>
      </c>
      <c r="AJ4" s="73">
        <f t="shared" si="0"/>
        <v>42814</v>
      </c>
      <c r="AK4" s="73">
        <f t="shared" si="0"/>
        <v>42821</v>
      </c>
      <c r="AL4" s="73">
        <f t="shared" si="0"/>
        <v>42828</v>
      </c>
    </row>
    <row r="5" spans="2:38" x14ac:dyDescent="0.3">
      <c r="B5" s="127" t="s">
        <v>120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</row>
    <row r="6" spans="2:38" x14ac:dyDescent="0.3">
      <c r="B6" s="125" t="str">
        <f>Estimation!N274</f>
        <v>Discovery / Requirement Analysis</v>
      </c>
      <c r="C6" s="129"/>
      <c r="D6" s="129"/>
      <c r="E6" s="129"/>
    </row>
    <row r="7" spans="2:38" x14ac:dyDescent="0.3">
      <c r="B7" s="125" t="str">
        <f>Estimation!N275</f>
        <v>System Design, Framework and Test Cases</v>
      </c>
      <c r="E7" s="130"/>
      <c r="F7" s="130"/>
      <c r="G7" s="130"/>
      <c r="H7" s="130"/>
      <c r="I7" s="130"/>
    </row>
    <row r="8" spans="2:38" x14ac:dyDescent="0.3">
      <c r="B8" s="125" t="str">
        <f>Estimation!N276</f>
        <v>Development and Unit Testing</v>
      </c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</row>
    <row r="9" spans="2:38" x14ac:dyDescent="0.3">
      <c r="B9" s="125" t="str">
        <f>Estimation!N277</f>
        <v>System Testing and Stabilization</v>
      </c>
      <c r="Q9" s="132"/>
      <c r="R9" s="132"/>
      <c r="S9" s="132"/>
      <c r="T9" s="132"/>
      <c r="U9" s="132"/>
      <c r="V9" s="132"/>
      <c r="W9" s="132"/>
      <c r="X9" s="132"/>
    </row>
    <row r="10" spans="2:38" x14ac:dyDescent="0.3">
      <c r="B10" s="125" t="str">
        <f>Estimation!N278</f>
        <v>Deployment, UAT and Documentation</v>
      </c>
      <c r="W10" s="133"/>
      <c r="X10" s="133"/>
      <c r="Y10" s="133"/>
      <c r="Z10" s="133"/>
      <c r="AA10" s="133"/>
    </row>
    <row r="11" spans="2:38" x14ac:dyDescent="0.3">
      <c r="B11" s="125" t="str">
        <f>Estimation!N279</f>
        <v>Others</v>
      </c>
      <c r="AA11" s="99"/>
      <c r="AB11" s="99"/>
    </row>
    <row r="12" spans="2:38" x14ac:dyDescent="0.3">
      <c r="B12" s="127" t="s">
        <v>121</v>
      </c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</row>
    <row r="13" spans="2:38" x14ac:dyDescent="0.3">
      <c r="B13" s="125" t="s">
        <v>8</v>
      </c>
      <c r="C13" s="128">
        <v>1</v>
      </c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</row>
    <row r="14" spans="2:38" x14ac:dyDescent="0.3">
      <c r="B14" s="125" t="s">
        <v>9</v>
      </c>
      <c r="C14" s="128"/>
      <c r="D14" s="128">
        <v>1</v>
      </c>
      <c r="E14" s="128">
        <v>1</v>
      </c>
      <c r="F14" s="128">
        <v>1</v>
      </c>
      <c r="G14" s="128">
        <v>1</v>
      </c>
      <c r="H14" s="128">
        <v>1</v>
      </c>
      <c r="I14" s="128">
        <v>1</v>
      </c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</row>
    <row r="15" spans="2:38" x14ac:dyDescent="0.3">
      <c r="B15" s="125" t="s">
        <v>10</v>
      </c>
      <c r="C15" s="128"/>
      <c r="D15" s="128"/>
      <c r="E15" s="128">
        <v>1</v>
      </c>
      <c r="F15" s="128">
        <v>1</v>
      </c>
      <c r="G15" s="128">
        <v>1</v>
      </c>
      <c r="H15" s="128">
        <v>1</v>
      </c>
      <c r="I15" s="128">
        <v>1</v>
      </c>
      <c r="J15" s="128">
        <v>1</v>
      </c>
      <c r="K15" s="128">
        <v>1</v>
      </c>
      <c r="L15" s="128">
        <v>1</v>
      </c>
      <c r="M15" s="128">
        <v>1</v>
      </c>
      <c r="N15" s="128">
        <v>1</v>
      </c>
      <c r="O15" s="128">
        <v>1</v>
      </c>
      <c r="P15" s="128">
        <v>1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8">
        <v>1</v>
      </c>
      <c r="W15" s="128">
        <v>1</v>
      </c>
      <c r="X15" s="128">
        <v>1</v>
      </c>
      <c r="Y15" s="128">
        <v>1</v>
      </c>
      <c r="Z15" s="128">
        <v>1</v>
      </c>
      <c r="AA15" s="128">
        <v>1</v>
      </c>
      <c r="AB15" s="128">
        <v>1</v>
      </c>
      <c r="AC15" s="128"/>
      <c r="AD15" s="128"/>
      <c r="AE15" s="128"/>
      <c r="AF15" s="128"/>
      <c r="AG15" s="128"/>
      <c r="AH15" s="128"/>
      <c r="AI15" s="128"/>
      <c r="AJ15" s="128"/>
      <c r="AK15" s="128"/>
      <c r="AL15" s="128"/>
    </row>
    <row r="16" spans="2:38" x14ac:dyDescent="0.3">
      <c r="B16" s="125" t="s">
        <v>12</v>
      </c>
      <c r="C16" s="128"/>
      <c r="D16" s="128"/>
      <c r="E16" s="128"/>
      <c r="F16" s="128"/>
      <c r="G16" s="128"/>
      <c r="H16" s="128">
        <v>2</v>
      </c>
      <c r="I16" s="128">
        <v>2</v>
      </c>
      <c r="J16" s="128">
        <v>2</v>
      </c>
      <c r="K16" s="128">
        <v>2</v>
      </c>
      <c r="L16" s="128">
        <v>2</v>
      </c>
      <c r="M16" s="128">
        <v>2</v>
      </c>
      <c r="N16" s="128">
        <v>2</v>
      </c>
      <c r="O16" s="128">
        <v>2</v>
      </c>
      <c r="P16" s="128">
        <v>2</v>
      </c>
      <c r="Q16" s="128">
        <v>2</v>
      </c>
      <c r="R16" s="128">
        <v>2</v>
      </c>
      <c r="S16" s="128">
        <v>2</v>
      </c>
      <c r="T16" s="128">
        <v>2</v>
      </c>
      <c r="U16" s="128">
        <v>2</v>
      </c>
      <c r="V16" s="128">
        <v>2</v>
      </c>
      <c r="W16" s="128">
        <v>2</v>
      </c>
      <c r="X16" s="128">
        <v>2</v>
      </c>
      <c r="Y16" s="128">
        <v>2</v>
      </c>
      <c r="Z16" s="128">
        <v>2</v>
      </c>
      <c r="AA16" s="128">
        <v>2</v>
      </c>
      <c r="AB16" s="128">
        <v>2</v>
      </c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</row>
    <row r="17" spans="2:38" x14ac:dyDescent="0.3">
      <c r="B17" s="125" t="s">
        <v>11</v>
      </c>
      <c r="C17" s="128"/>
      <c r="D17" s="128"/>
      <c r="E17" s="128"/>
      <c r="F17" s="128"/>
      <c r="G17" s="128"/>
      <c r="H17" s="128">
        <v>1</v>
      </c>
      <c r="I17" s="128">
        <v>1</v>
      </c>
      <c r="J17" s="128"/>
      <c r="K17" s="128"/>
      <c r="L17" s="128"/>
      <c r="M17" s="128"/>
      <c r="N17" s="128"/>
      <c r="O17" s="128"/>
      <c r="P17" s="128"/>
      <c r="Q17" s="128">
        <v>1</v>
      </c>
      <c r="R17" s="128">
        <v>1</v>
      </c>
      <c r="S17" s="128">
        <v>1</v>
      </c>
      <c r="T17" s="128">
        <v>1</v>
      </c>
      <c r="U17" s="128">
        <v>1</v>
      </c>
      <c r="V17" s="128">
        <v>1</v>
      </c>
      <c r="W17" s="128">
        <v>1</v>
      </c>
      <c r="X17" s="128">
        <v>1</v>
      </c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</row>
    <row r="18" spans="2:38" x14ac:dyDescent="0.3">
      <c r="B18" s="125" t="s">
        <v>13</v>
      </c>
      <c r="C18" s="128">
        <v>1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</row>
    <row r="19" spans="2:38" x14ac:dyDescent="0.3"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</row>
  </sheetData>
  <mergeCells count="11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3" activePane="bottomLeft" state="frozenSplit"/>
      <selection pane="bottomLeft" activeCell="T142" sqref="T142"/>
    </sheetView>
  </sheetViews>
  <sheetFormatPr defaultColWidth="2.77734375" defaultRowHeight="14.4" x14ac:dyDescent="0.3"/>
  <cols>
    <col min="1" max="16384" width="2.77734375" style="172"/>
  </cols>
  <sheetData>
    <row r="2" spans="2:58" ht="28.8" x14ac:dyDescent="0.3">
      <c r="B2" s="171" t="str">
        <f>TEMPLATE_NAME&amp;" "&amp;TEMPLATE_VER&amp;" - HELP"</f>
        <v>AG Estimation Template -  Version 2.0.4 - HELP</v>
      </c>
    </row>
    <row r="4" spans="2:58" x14ac:dyDescent="0.3">
      <c r="B4" s="172" t="s">
        <v>176</v>
      </c>
    </row>
    <row r="5" spans="2:58" x14ac:dyDescent="0.3">
      <c r="B5" s="209" t="s">
        <v>177</v>
      </c>
      <c r="D5" s="172" t="s">
        <v>178</v>
      </c>
    </row>
    <row r="6" spans="2:58" x14ac:dyDescent="0.3">
      <c r="B6" s="209" t="s">
        <v>177</v>
      </c>
      <c r="D6" s="172" t="s">
        <v>179</v>
      </c>
    </row>
    <row r="7" spans="2:58" x14ac:dyDescent="0.3">
      <c r="B7" s="209" t="s">
        <v>177</v>
      </c>
      <c r="D7" s="172" t="s">
        <v>180</v>
      </c>
    </row>
    <row r="8" spans="2:58" x14ac:dyDescent="0.3">
      <c r="B8" s="209" t="s">
        <v>177</v>
      </c>
      <c r="D8" s="172" t="s">
        <v>181</v>
      </c>
    </row>
    <row r="9" spans="2:58" x14ac:dyDescent="0.3">
      <c r="B9" s="209" t="s">
        <v>177</v>
      </c>
      <c r="D9" s="172" t="s">
        <v>182</v>
      </c>
    </row>
    <row r="10" spans="2:58" x14ac:dyDescent="0.3">
      <c r="B10" s="209" t="s">
        <v>177</v>
      </c>
      <c r="D10" s="172" t="s">
        <v>183</v>
      </c>
    </row>
    <row r="11" spans="2:58" x14ac:dyDescent="0.3">
      <c r="B11" s="209" t="s">
        <v>177</v>
      </c>
      <c r="D11" s="172" t="s">
        <v>184</v>
      </c>
    </row>
    <row r="13" spans="2:58" x14ac:dyDescent="0.3">
      <c r="B13" s="342" t="s">
        <v>263</v>
      </c>
      <c r="C13" s="342"/>
      <c r="D13" s="342"/>
      <c r="E13" s="342"/>
      <c r="F13" s="342"/>
      <c r="G13" s="342"/>
      <c r="H13" s="342"/>
      <c r="I13" s="342"/>
      <c r="J13" s="342"/>
      <c r="N13" s="235" t="s">
        <v>424</v>
      </c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9" t="s">
        <v>425</v>
      </c>
      <c r="AW13" s="234"/>
      <c r="AX13" s="235" t="s">
        <v>426</v>
      </c>
      <c r="AY13" s="234"/>
      <c r="AZ13" s="234"/>
      <c r="BA13" s="234"/>
      <c r="BB13" s="234"/>
      <c r="BC13" s="234"/>
      <c r="BD13" s="234"/>
      <c r="BE13" s="234"/>
      <c r="BF13" s="234"/>
    </row>
    <row r="14" spans="2:58" x14ac:dyDescent="0.3">
      <c r="B14" s="342"/>
      <c r="C14" s="342"/>
      <c r="D14" s="342"/>
      <c r="E14" s="342"/>
      <c r="F14" s="342"/>
      <c r="G14" s="342"/>
      <c r="H14" s="342"/>
      <c r="I14" s="342"/>
      <c r="J14" s="342"/>
      <c r="N14" s="235" t="s">
        <v>427</v>
      </c>
      <c r="S14" s="235" t="s">
        <v>428</v>
      </c>
      <c r="AH14" s="239" t="s">
        <v>429</v>
      </c>
    </row>
    <row r="15" spans="2:58" ht="15" customHeight="1" x14ac:dyDescent="0.3">
      <c r="B15" s="236"/>
      <c r="C15" s="236"/>
      <c r="D15" s="236"/>
      <c r="E15" s="236"/>
      <c r="F15" s="236"/>
      <c r="G15" s="236"/>
      <c r="H15" s="236"/>
      <c r="I15" s="236"/>
      <c r="J15" s="236"/>
      <c r="N15" s="237"/>
      <c r="S15" s="237"/>
      <c r="AH15" s="238"/>
    </row>
    <row r="16" spans="2:58" ht="15" customHeight="1" x14ac:dyDescent="0.3">
      <c r="H16" s="343" t="s">
        <v>195</v>
      </c>
      <c r="I16" s="343"/>
      <c r="J16" s="343"/>
      <c r="K16" s="343"/>
      <c r="L16" s="343"/>
      <c r="M16" s="343"/>
      <c r="N16" s="343"/>
      <c r="O16" s="343"/>
      <c r="P16" s="343"/>
      <c r="Q16" s="343"/>
      <c r="R16" s="343"/>
      <c r="S16" s="343"/>
      <c r="T16" s="343"/>
      <c r="U16" s="343"/>
      <c r="V16" s="343"/>
      <c r="AL16" s="343" t="s">
        <v>245</v>
      </c>
      <c r="AM16" s="343"/>
      <c r="AN16" s="343"/>
      <c r="AO16" s="343"/>
      <c r="AP16" s="343"/>
      <c r="AQ16" s="343"/>
      <c r="AR16" s="343"/>
      <c r="AS16" s="343"/>
      <c r="AT16" s="343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</row>
    <row r="17" spans="2:56" ht="15" customHeight="1" x14ac:dyDescent="0.3">
      <c r="H17" s="343"/>
      <c r="I17" s="343"/>
      <c r="J17" s="343"/>
      <c r="K17" s="343"/>
      <c r="L17" s="343"/>
      <c r="M17" s="343"/>
      <c r="N17" s="343"/>
      <c r="O17" s="343"/>
      <c r="P17" s="343"/>
      <c r="Q17" s="343"/>
      <c r="R17" s="343"/>
      <c r="S17" s="343"/>
      <c r="T17" s="343"/>
      <c r="U17" s="343"/>
      <c r="V17" s="343"/>
      <c r="AL17" s="343"/>
      <c r="AM17" s="343"/>
      <c r="AN17" s="343"/>
      <c r="AO17" s="343"/>
      <c r="AP17" s="343"/>
      <c r="AQ17" s="343"/>
      <c r="AR17" s="343"/>
      <c r="AS17" s="343"/>
      <c r="AT17" s="343"/>
      <c r="AU17" s="343"/>
      <c r="AV17" s="343"/>
      <c r="AW17" s="343"/>
      <c r="AX17" s="343"/>
      <c r="AY17" s="343"/>
      <c r="AZ17" s="343"/>
      <c r="BA17" s="343"/>
      <c r="BB17" s="343"/>
      <c r="BC17" s="343"/>
      <c r="BD17" s="343"/>
    </row>
    <row r="18" spans="2:56" x14ac:dyDescent="0.3">
      <c r="H18" s="172" t="s">
        <v>196</v>
      </c>
      <c r="AL18" s="172" t="s">
        <v>200</v>
      </c>
    </row>
    <row r="19" spans="2:56" x14ac:dyDescent="0.3">
      <c r="H19" s="172" t="s">
        <v>197</v>
      </c>
      <c r="AL19" s="172" t="s">
        <v>201</v>
      </c>
    </row>
    <row r="20" spans="2:56" x14ac:dyDescent="0.3">
      <c r="H20" s="172" t="s">
        <v>198</v>
      </c>
      <c r="AL20" s="172" t="s">
        <v>202</v>
      </c>
    </row>
    <row r="21" spans="2:56" x14ac:dyDescent="0.3">
      <c r="H21" s="172" t="s">
        <v>199</v>
      </c>
    </row>
    <row r="22" spans="2:56" x14ac:dyDescent="0.3">
      <c r="H22" s="172" t="s">
        <v>205</v>
      </c>
      <c r="O22"/>
      <c r="AL22" s="172" t="s">
        <v>203</v>
      </c>
    </row>
    <row r="23" spans="2:56" x14ac:dyDescent="0.3">
      <c r="H23" s="172" t="s">
        <v>206</v>
      </c>
      <c r="AL23" s="172" t="s">
        <v>204</v>
      </c>
    </row>
    <row r="29" spans="2:56" x14ac:dyDescent="0.3">
      <c r="B29" s="343" t="s">
        <v>207</v>
      </c>
      <c r="C29" s="343"/>
      <c r="D29" s="343"/>
      <c r="E29" s="343"/>
      <c r="F29" s="343"/>
      <c r="G29" s="343"/>
      <c r="H29" s="343"/>
      <c r="I29" s="343"/>
      <c r="J29" s="343"/>
      <c r="K29" s="343"/>
      <c r="L29" s="343"/>
      <c r="M29" s="343"/>
      <c r="N29" s="343"/>
      <c r="O29" s="343"/>
    </row>
    <row r="30" spans="2:56" x14ac:dyDescent="0.3">
      <c r="B30" s="343"/>
      <c r="C30" s="343"/>
      <c r="D30" s="343"/>
      <c r="E30" s="343"/>
      <c r="F30" s="343"/>
      <c r="G30" s="343"/>
      <c r="H30" s="343"/>
      <c r="I30" s="343"/>
      <c r="J30" s="343"/>
      <c r="K30" s="343"/>
      <c r="L30" s="343"/>
      <c r="M30" s="343"/>
      <c r="N30" s="343"/>
      <c r="O30" s="343"/>
    </row>
    <row r="31" spans="2:56" x14ac:dyDescent="0.3">
      <c r="B31" s="172" t="s">
        <v>431</v>
      </c>
    </row>
    <row r="32" spans="2:56" x14ac:dyDescent="0.3">
      <c r="B32" s="172" t="s">
        <v>432</v>
      </c>
    </row>
    <row r="33" spans="2:31" x14ac:dyDescent="0.3">
      <c r="B33" s="172" t="s">
        <v>433</v>
      </c>
    </row>
    <row r="34" spans="2:31" x14ac:dyDescent="0.3">
      <c r="B34" s="172" t="s">
        <v>434</v>
      </c>
    </row>
    <row r="35" spans="2:31" x14ac:dyDescent="0.3">
      <c r="B35" s="172" t="s">
        <v>435</v>
      </c>
    </row>
    <row r="36" spans="2:31" x14ac:dyDescent="0.3">
      <c r="B36" s="172" t="s">
        <v>436</v>
      </c>
    </row>
    <row r="41" spans="2:31" x14ac:dyDescent="0.3">
      <c r="B41" s="343" t="s">
        <v>208</v>
      </c>
      <c r="C41" s="343"/>
      <c r="D41" s="343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</row>
    <row r="42" spans="2:31" x14ac:dyDescent="0.3">
      <c r="B42" s="343"/>
      <c r="C42" s="343"/>
      <c r="D42" s="343"/>
      <c r="E42" s="343"/>
      <c r="F42" s="343"/>
      <c r="G42" s="343"/>
      <c r="H42" s="343"/>
      <c r="I42" s="343"/>
      <c r="J42" s="343"/>
      <c r="K42" s="343"/>
      <c r="L42" s="343"/>
      <c r="M42" s="343"/>
      <c r="N42" s="343"/>
      <c r="O42" s="343"/>
      <c r="AE42" s="172" t="s">
        <v>214</v>
      </c>
    </row>
    <row r="43" spans="2:31" x14ac:dyDescent="0.3">
      <c r="B43" s="172" t="s">
        <v>210</v>
      </c>
      <c r="AE43" s="172" t="s">
        <v>213</v>
      </c>
    </row>
    <row r="44" spans="2:31" x14ac:dyDescent="0.3">
      <c r="B44" s="172" t="s">
        <v>209</v>
      </c>
      <c r="AE44" s="172" t="s">
        <v>215</v>
      </c>
    </row>
    <row r="46" spans="2:31" x14ac:dyDescent="0.3">
      <c r="B46" s="172" t="s">
        <v>211</v>
      </c>
      <c r="AE46" s="172" t="s">
        <v>216</v>
      </c>
    </row>
    <row r="47" spans="2:31" x14ac:dyDescent="0.3">
      <c r="B47" s="172" t="s">
        <v>212</v>
      </c>
      <c r="AE47" s="172" t="s">
        <v>217</v>
      </c>
    </row>
    <row r="49" spans="2:14" x14ac:dyDescent="0.3">
      <c r="B49" s="343" t="s">
        <v>224</v>
      </c>
      <c r="C49" s="343"/>
      <c r="D49" s="343"/>
      <c r="E49" s="343"/>
      <c r="F49" s="343"/>
      <c r="G49" s="343"/>
      <c r="H49" s="343"/>
      <c r="I49" s="343"/>
      <c r="J49" s="343"/>
      <c r="K49" s="343"/>
      <c r="L49" s="343"/>
      <c r="M49" s="343"/>
      <c r="N49" s="343"/>
    </row>
    <row r="50" spans="2:14" x14ac:dyDescent="0.3">
      <c r="B50" s="343"/>
      <c r="C50" s="343"/>
      <c r="D50" s="343"/>
      <c r="E50" s="343"/>
      <c r="F50" s="343"/>
      <c r="G50" s="343"/>
      <c r="H50" s="343"/>
      <c r="I50" s="343"/>
      <c r="J50" s="343"/>
      <c r="K50" s="343"/>
      <c r="L50" s="343"/>
      <c r="M50" s="343"/>
      <c r="N50" s="343"/>
    </row>
    <row r="51" spans="2:14" x14ac:dyDescent="0.3">
      <c r="B51" s="172" t="s">
        <v>218</v>
      </c>
    </row>
    <row r="52" spans="2:14" x14ac:dyDescent="0.3">
      <c r="B52" s="172" t="s">
        <v>219</v>
      </c>
    </row>
    <row r="54" spans="2:14" x14ac:dyDescent="0.3">
      <c r="B54" s="172" t="s">
        <v>220</v>
      </c>
    </row>
    <row r="55" spans="2:14" x14ac:dyDescent="0.3">
      <c r="B55" s="172" t="s">
        <v>221</v>
      </c>
    </row>
    <row r="56" spans="2:14" x14ac:dyDescent="0.3">
      <c r="B56" s="172" t="s">
        <v>222</v>
      </c>
    </row>
    <row r="57" spans="2:14" x14ac:dyDescent="0.3">
      <c r="B57" s="172" t="s">
        <v>223</v>
      </c>
    </row>
    <row r="71" spans="2:16" x14ac:dyDescent="0.3">
      <c r="B71" s="343" t="s">
        <v>225</v>
      </c>
      <c r="C71" s="343"/>
      <c r="D71" s="343"/>
      <c r="E71" s="343"/>
      <c r="F71" s="343"/>
      <c r="G71" s="343"/>
      <c r="H71" s="343"/>
      <c r="I71" s="343"/>
      <c r="J71" s="343"/>
      <c r="K71" s="343"/>
      <c r="L71" s="343"/>
      <c r="M71" s="343"/>
      <c r="N71" s="343"/>
      <c r="O71" s="343"/>
      <c r="P71" s="343"/>
    </row>
    <row r="72" spans="2:16" x14ac:dyDescent="0.3">
      <c r="B72" s="343"/>
      <c r="C72" s="343"/>
      <c r="D72" s="343"/>
      <c r="E72" s="343"/>
      <c r="F72" s="343"/>
      <c r="G72" s="343"/>
      <c r="H72" s="343"/>
      <c r="I72" s="343"/>
      <c r="J72" s="343"/>
      <c r="K72" s="343"/>
      <c r="L72" s="343"/>
      <c r="M72" s="343"/>
      <c r="N72" s="343"/>
      <c r="O72" s="343"/>
      <c r="P72" s="343"/>
    </row>
    <row r="73" spans="2:16" x14ac:dyDescent="0.3">
      <c r="B73" s="172" t="s">
        <v>226</v>
      </c>
    </row>
    <row r="74" spans="2:16" x14ac:dyDescent="0.3">
      <c r="B74" s="172" t="s">
        <v>228</v>
      </c>
    </row>
    <row r="75" spans="2:16" x14ac:dyDescent="0.3">
      <c r="B75" s="172" t="s">
        <v>227</v>
      </c>
    </row>
    <row r="79" spans="2:16" x14ac:dyDescent="0.3">
      <c r="B79" s="172" t="s">
        <v>229</v>
      </c>
    </row>
    <row r="80" spans="2:16" x14ac:dyDescent="0.3">
      <c r="B80" s="172" t="s">
        <v>230</v>
      </c>
    </row>
    <row r="83" spans="3:69" ht="15" customHeight="1" x14ac:dyDescent="0.3">
      <c r="BG83" s="217" t="s">
        <v>233</v>
      </c>
      <c r="BH83" s="216"/>
      <c r="BI83" s="216"/>
      <c r="BJ83" s="216"/>
      <c r="BK83" s="216"/>
      <c r="BL83" s="216"/>
      <c r="BM83" s="216"/>
      <c r="BN83" s="216"/>
      <c r="BO83" s="216"/>
      <c r="BP83" s="216"/>
    </row>
    <row r="84" spans="3:69" ht="15" customHeight="1" x14ac:dyDescent="0.3">
      <c r="C84" s="343" t="s">
        <v>234</v>
      </c>
      <c r="D84" s="343"/>
      <c r="E84" s="343"/>
      <c r="F84" s="343"/>
      <c r="G84" s="343"/>
      <c r="H84" s="343"/>
      <c r="I84" s="343"/>
      <c r="J84" s="343"/>
      <c r="K84" s="343"/>
      <c r="L84" s="343"/>
      <c r="M84" s="343"/>
      <c r="N84" s="343"/>
      <c r="O84" s="343"/>
      <c r="P84" s="343"/>
      <c r="Q84" s="343"/>
      <c r="AZ84" s="217"/>
      <c r="BA84" s="217"/>
      <c r="BB84" s="217"/>
      <c r="BC84" s="217"/>
      <c r="BD84" s="217"/>
      <c r="BF84" s="217"/>
      <c r="BG84" s="216" t="s">
        <v>231</v>
      </c>
      <c r="BH84" s="217"/>
      <c r="BI84" s="217"/>
      <c r="BJ84" s="217"/>
    </row>
    <row r="85" spans="3:69" ht="18" x14ac:dyDescent="0.3">
      <c r="C85" s="343"/>
      <c r="D85" s="343"/>
      <c r="E85" s="343"/>
      <c r="F85" s="343"/>
      <c r="G85" s="343"/>
      <c r="H85" s="343"/>
      <c r="I85" s="343"/>
      <c r="J85" s="343"/>
      <c r="K85" s="343"/>
      <c r="L85" s="343"/>
      <c r="M85" s="343"/>
      <c r="N85" s="343"/>
      <c r="O85" s="343"/>
      <c r="P85" s="343"/>
      <c r="Q85" s="343"/>
      <c r="AY85" s="217"/>
      <c r="AZ85" s="217"/>
      <c r="BA85" s="217"/>
      <c r="BB85" s="217"/>
      <c r="BC85" s="217"/>
      <c r="BD85" s="217"/>
      <c r="BF85" s="217"/>
      <c r="BG85" s="216" t="s">
        <v>232</v>
      </c>
      <c r="BH85" s="217"/>
      <c r="BI85" s="217"/>
      <c r="BJ85" s="217"/>
      <c r="BK85" s="216"/>
      <c r="BL85" s="216"/>
      <c r="BM85" s="216"/>
      <c r="BN85" s="216"/>
      <c r="BO85" s="216"/>
      <c r="BP85" s="216"/>
      <c r="BQ85" s="216"/>
    </row>
    <row r="86" spans="3:69" x14ac:dyDescent="0.3">
      <c r="C86" s="172" t="s">
        <v>235</v>
      </c>
      <c r="BG86" s="216"/>
      <c r="BH86" s="216"/>
      <c r="BI86" s="216"/>
      <c r="BJ86" s="216"/>
      <c r="BK86" s="216"/>
      <c r="BL86" s="216"/>
      <c r="BM86" s="216"/>
      <c r="BN86" s="216"/>
      <c r="BO86" s="216"/>
      <c r="BP86" s="216"/>
      <c r="BQ86" s="216"/>
    </row>
    <row r="87" spans="3:69" x14ac:dyDescent="0.3">
      <c r="C87" s="172" t="s">
        <v>236</v>
      </c>
    </row>
    <row r="93" spans="3:69" x14ac:dyDescent="0.3">
      <c r="AE93" s="343" t="s">
        <v>237</v>
      </c>
      <c r="AF93" s="343"/>
      <c r="AG93" s="343"/>
      <c r="AH93" s="343"/>
      <c r="AI93" s="343"/>
      <c r="AJ93" s="343"/>
      <c r="AK93" s="343"/>
      <c r="AL93" s="343"/>
      <c r="AM93" s="343"/>
      <c r="AN93" s="343"/>
      <c r="AO93" s="343"/>
      <c r="AP93" s="343"/>
      <c r="AQ93" s="343"/>
      <c r="AR93" s="343"/>
      <c r="AS93" s="343"/>
      <c r="AT93" s="343"/>
      <c r="AU93" s="343"/>
      <c r="AV93" s="343"/>
      <c r="AW93" s="343"/>
      <c r="AX93" s="343"/>
      <c r="AY93" s="343"/>
    </row>
    <row r="94" spans="3:69" x14ac:dyDescent="0.3">
      <c r="AE94" s="343"/>
      <c r="AF94" s="343"/>
      <c r="AG94" s="343"/>
      <c r="AH94" s="343"/>
      <c r="AI94" s="343"/>
      <c r="AJ94" s="343"/>
      <c r="AK94" s="343"/>
      <c r="AL94" s="343"/>
      <c r="AM94" s="343"/>
      <c r="AN94" s="343"/>
      <c r="AO94" s="343"/>
      <c r="AP94" s="343"/>
      <c r="AQ94" s="343"/>
      <c r="AR94" s="343"/>
      <c r="AS94" s="343"/>
      <c r="AT94" s="343"/>
      <c r="AU94" s="343"/>
      <c r="AV94" s="343"/>
      <c r="AW94" s="343"/>
      <c r="AX94" s="343"/>
      <c r="AY94" s="343"/>
    </row>
    <row r="95" spans="3:69" x14ac:dyDescent="0.3">
      <c r="AE95" s="172" t="s">
        <v>238</v>
      </c>
    </row>
    <row r="96" spans="3:69" ht="15" customHeight="1" x14ac:dyDescent="0.3">
      <c r="AE96" s="172" t="s">
        <v>239</v>
      </c>
    </row>
    <row r="97" spans="3:23" ht="15" customHeight="1" x14ac:dyDescent="0.3"/>
    <row r="104" spans="3:23" x14ac:dyDescent="0.3">
      <c r="C104" s="343" t="s">
        <v>240</v>
      </c>
      <c r="D104" s="343"/>
      <c r="E104" s="343"/>
      <c r="F104" s="343"/>
      <c r="G104" s="343"/>
      <c r="H104" s="343"/>
      <c r="I104" s="343"/>
      <c r="J104" s="343"/>
      <c r="K104" s="343"/>
      <c r="L104" s="343"/>
      <c r="M104" s="343"/>
      <c r="N104" s="343"/>
      <c r="O104" s="343"/>
      <c r="P104" s="343"/>
      <c r="Q104" s="343"/>
      <c r="R104" s="343"/>
      <c r="S104" s="343"/>
      <c r="T104" s="343"/>
      <c r="U104" s="343"/>
      <c r="V104" s="343"/>
      <c r="W104" s="343"/>
    </row>
    <row r="105" spans="3:23" x14ac:dyDescent="0.3">
      <c r="C105" s="343"/>
      <c r="D105" s="343"/>
      <c r="E105" s="343"/>
      <c r="F105" s="343"/>
      <c r="G105" s="343"/>
      <c r="H105" s="343"/>
      <c r="I105" s="343"/>
      <c r="J105" s="343"/>
      <c r="K105" s="343"/>
      <c r="L105" s="343"/>
      <c r="M105" s="343"/>
      <c r="N105" s="343"/>
      <c r="O105" s="343"/>
      <c r="P105" s="343"/>
      <c r="Q105" s="343"/>
      <c r="R105" s="343"/>
      <c r="S105" s="343"/>
      <c r="T105" s="343"/>
      <c r="U105" s="343"/>
      <c r="V105" s="343"/>
      <c r="W105" s="343"/>
    </row>
    <row r="111" spans="3:23" x14ac:dyDescent="0.3">
      <c r="C111" s="172" t="s">
        <v>241</v>
      </c>
    </row>
    <row r="112" spans="3:23" x14ac:dyDescent="0.3">
      <c r="C112" s="172" t="s">
        <v>242</v>
      </c>
    </row>
    <row r="114" spans="3:52" x14ac:dyDescent="0.3">
      <c r="C114" s="172" t="s">
        <v>243</v>
      </c>
      <c r="AF114" s="343" t="s">
        <v>246</v>
      </c>
      <c r="AG114" s="343"/>
      <c r="AH114" s="343"/>
      <c r="AI114" s="343"/>
      <c r="AJ114" s="343"/>
      <c r="AK114" s="343"/>
      <c r="AL114" s="343"/>
      <c r="AM114" s="343"/>
      <c r="AN114" s="343"/>
      <c r="AO114" s="343"/>
      <c r="AP114" s="343"/>
      <c r="AQ114" s="343"/>
      <c r="AR114" s="343"/>
      <c r="AS114" s="343"/>
      <c r="AT114" s="343"/>
      <c r="AU114" s="343"/>
      <c r="AV114" s="343"/>
      <c r="AW114" s="343"/>
      <c r="AX114" s="343"/>
      <c r="AY114" s="343"/>
      <c r="AZ114" s="343"/>
    </row>
    <row r="115" spans="3:52" x14ac:dyDescent="0.3">
      <c r="C115" s="172" t="s">
        <v>244</v>
      </c>
      <c r="AF115" s="343"/>
      <c r="AG115" s="343"/>
      <c r="AH115" s="343"/>
      <c r="AI115" s="343"/>
      <c r="AJ115" s="343"/>
      <c r="AK115" s="343"/>
      <c r="AL115" s="343"/>
      <c r="AM115" s="343"/>
      <c r="AN115" s="343"/>
      <c r="AO115" s="343"/>
      <c r="AP115" s="343"/>
      <c r="AQ115" s="343"/>
      <c r="AR115" s="343"/>
      <c r="AS115" s="343"/>
      <c r="AT115" s="343"/>
      <c r="AU115" s="343"/>
      <c r="AV115" s="343"/>
      <c r="AW115" s="343"/>
      <c r="AX115" s="343"/>
      <c r="AY115" s="343"/>
      <c r="AZ115" s="343"/>
    </row>
    <row r="116" spans="3:52" x14ac:dyDescent="0.3">
      <c r="AF116" s="172" t="s">
        <v>252</v>
      </c>
    </row>
    <row r="117" spans="3:52" x14ac:dyDescent="0.3">
      <c r="AF117" s="172" t="s">
        <v>251</v>
      </c>
    </row>
    <row r="121" spans="3:52" x14ac:dyDescent="0.3">
      <c r="V121" s="343" t="s">
        <v>247</v>
      </c>
      <c r="W121" s="343"/>
      <c r="X121" s="343"/>
      <c r="Y121" s="343"/>
      <c r="Z121" s="343"/>
      <c r="AA121" s="343"/>
      <c r="AB121" s="343"/>
      <c r="AC121" s="343"/>
      <c r="AD121" s="343"/>
      <c r="AE121" s="343"/>
      <c r="AF121" s="343"/>
      <c r="AG121" s="343"/>
      <c r="AH121" s="343"/>
      <c r="AI121" s="343"/>
      <c r="AJ121" s="343"/>
      <c r="AK121" s="343"/>
      <c r="AL121" s="343"/>
      <c r="AM121" s="343"/>
      <c r="AN121" s="343"/>
      <c r="AO121" s="343"/>
      <c r="AP121" s="343"/>
    </row>
    <row r="122" spans="3:52" x14ac:dyDescent="0.3">
      <c r="V122" s="343"/>
      <c r="W122" s="343"/>
      <c r="X122" s="343"/>
      <c r="Y122" s="343"/>
      <c r="Z122" s="343"/>
      <c r="AA122" s="343"/>
      <c r="AB122" s="343"/>
      <c r="AC122" s="343"/>
      <c r="AD122" s="343"/>
      <c r="AE122" s="343"/>
      <c r="AF122" s="343"/>
      <c r="AG122" s="343"/>
      <c r="AH122" s="343"/>
      <c r="AI122" s="343"/>
      <c r="AJ122" s="343"/>
      <c r="AK122" s="343"/>
      <c r="AL122" s="343"/>
      <c r="AM122" s="343"/>
      <c r="AN122" s="343"/>
      <c r="AO122" s="343"/>
      <c r="AP122" s="343"/>
    </row>
    <row r="123" spans="3:52" x14ac:dyDescent="0.3">
      <c r="S123" s="172" t="s">
        <v>248</v>
      </c>
    </row>
    <row r="124" spans="3:52" x14ac:dyDescent="0.3">
      <c r="S124" s="172" t="s">
        <v>249</v>
      </c>
    </row>
    <row r="126" spans="3:52" x14ac:dyDescent="0.3">
      <c r="S126" s="172" t="s">
        <v>250</v>
      </c>
    </row>
    <row r="130" spans="4:26" x14ac:dyDescent="0.3">
      <c r="F130" s="343" t="s">
        <v>253</v>
      </c>
      <c r="G130" s="343"/>
      <c r="H130" s="343"/>
      <c r="I130" s="343"/>
      <c r="J130" s="343"/>
      <c r="K130" s="343"/>
      <c r="L130" s="343"/>
      <c r="M130" s="343"/>
      <c r="N130" s="343"/>
      <c r="O130" s="343"/>
      <c r="P130" s="343"/>
      <c r="Q130" s="343"/>
      <c r="R130" s="343"/>
      <c r="S130" s="343"/>
      <c r="T130" s="343"/>
      <c r="U130" s="343"/>
      <c r="V130" s="343"/>
      <c r="W130" s="343"/>
      <c r="X130" s="343"/>
      <c r="Y130" s="343"/>
      <c r="Z130" s="343"/>
    </row>
    <row r="131" spans="4:26" x14ac:dyDescent="0.3">
      <c r="F131" s="343"/>
      <c r="G131" s="343"/>
      <c r="H131" s="343"/>
      <c r="I131" s="343"/>
      <c r="J131" s="343"/>
      <c r="K131" s="343"/>
      <c r="L131" s="343"/>
      <c r="M131" s="343"/>
      <c r="N131" s="343"/>
      <c r="O131" s="343"/>
      <c r="P131" s="343"/>
      <c r="Q131" s="343"/>
      <c r="R131" s="343"/>
      <c r="S131" s="343"/>
      <c r="T131" s="343"/>
      <c r="U131" s="343"/>
      <c r="V131" s="343"/>
      <c r="W131" s="343"/>
      <c r="X131" s="343"/>
      <c r="Y131" s="343"/>
      <c r="Z131" s="343"/>
    </row>
    <row r="132" spans="4:26" x14ac:dyDescent="0.3">
      <c r="F132" s="172" t="s">
        <v>254</v>
      </c>
    </row>
    <row r="133" spans="4:26" x14ac:dyDescent="0.3">
      <c r="F133" s="172" t="s">
        <v>255</v>
      </c>
    </row>
    <row r="143" spans="4:26" x14ac:dyDescent="0.3">
      <c r="D143" s="343" t="s">
        <v>256</v>
      </c>
      <c r="E143" s="343"/>
      <c r="F143" s="343"/>
      <c r="G143" s="343"/>
      <c r="H143" s="343"/>
      <c r="I143" s="343"/>
      <c r="J143" s="343"/>
      <c r="K143" s="343"/>
      <c r="L143" s="343"/>
      <c r="M143" s="343"/>
      <c r="N143" s="343"/>
      <c r="O143" s="343"/>
      <c r="P143" s="343"/>
      <c r="Q143" s="343"/>
      <c r="R143" s="343"/>
      <c r="S143" s="343"/>
      <c r="T143" s="343"/>
      <c r="U143" s="343"/>
      <c r="V143" s="343"/>
      <c r="W143" s="343"/>
      <c r="X143" s="343"/>
    </row>
    <row r="144" spans="4:26" x14ac:dyDescent="0.3"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</row>
    <row r="145" spans="4:24" x14ac:dyDescent="0.3">
      <c r="D145" s="172" t="s">
        <v>257</v>
      </c>
    </row>
    <row r="146" spans="4:24" x14ac:dyDescent="0.3">
      <c r="D146" s="172" t="s">
        <v>258</v>
      </c>
    </row>
    <row r="148" spans="4:24" x14ac:dyDescent="0.3">
      <c r="D148" s="172" t="s">
        <v>259</v>
      </c>
    </row>
    <row r="149" spans="4:24" x14ac:dyDescent="0.3">
      <c r="D149" s="172" t="s">
        <v>260</v>
      </c>
    </row>
    <row r="152" spans="4:24" x14ac:dyDescent="0.3">
      <c r="D152" s="343" t="s">
        <v>261</v>
      </c>
      <c r="E152" s="343"/>
      <c r="F152" s="343"/>
      <c r="G152" s="343"/>
      <c r="H152" s="343"/>
      <c r="I152" s="343"/>
      <c r="J152" s="343"/>
      <c r="K152" s="343"/>
      <c r="L152" s="343"/>
      <c r="M152" s="343"/>
      <c r="N152" s="343"/>
      <c r="O152" s="343"/>
      <c r="P152" s="343"/>
      <c r="Q152" s="343"/>
      <c r="R152" s="343"/>
      <c r="S152" s="343"/>
      <c r="T152" s="343"/>
      <c r="U152" s="343"/>
      <c r="V152" s="343"/>
      <c r="W152" s="343"/>
      <c r="X152" s="343"/>
    </row>
    <row r="153" spans="4:24" x14ac:dyDescent="0.3">
      <c r="D153" s="343"/>
      <c r="E153" s="343"/>
      <c r="F153" s="343"/>
      <c r="G153" s="343"/>
      <c r="H153" s="343"/>
      <c r="I153" s="343"/>
      <c r="J153" s="343"/>
      <c r="K153" s="343"/>
      <c r="L153" s="343"/>
      <c r="M153" s="343"/>
      <c r="N153" s="343"/>
      <c r="O153" s="343"/>
      <c r="P153" s="343"/>
      <c r="Q153" s="343"/>
      <c r="R153" s="343"/>
      <c r="S153" s="343"/>
      <c r="T153" s="343"/>
      <c r="U153" s="343"/>
      <c r="V153" s="343"/>
      <c r="W153" s="343"/>
      <c r="X153" s="343"/>
    </row>
    <row r="154" spans="4:24" x14ac:dyDescent="0.3">
      <c r="G154" s="172" t="s">
        <v>262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2" activePane="bottomLeft" state="frozenSplit"/>
      <selection pane="bottomLeft" activeCell="H42" sqref="H42"/>
    </sheetView>
  </sheetViews>
  <sheetFormatPr defaultColWidth="3.77734375" defaultRowHeight="14.4" x14ac:dyDescent="0.3"/>
  <cols>
    <col min="1" max="1" width="2.77734375" customWidth="1"/>
    <col min="2" max="2" width="4.44140625" bestFit="1" customWidth="1"/>
  </cols>
  <sheetData>
    <row r="2" spans="2:4" ht="28.8" x14ac:dyDescent="0.3">
      <c r="B2" s="171" t="str">
        <f>TEMPLATE_NAME&amp;" "&amp;TEMPLATE_VER&amp;" - FAQs"</f>
        <v>AG Estimation Template -  Version 2.0.4 - FAQs</v>
      </c>
    </row>
    <row r="4" spans="2:4" ht="18" x14ac:dyDescent="0.35">
      <c r="B4" s="233" t="s">
        <v>409</v>
      </c>
    </row>
    <row r="6" spans="2:4" s="229" customFormat="1" ht="21" x14ac:dyDescent="0.4">
      <c r="B6" s="228">
        <v>1</v>
      </c>
      <c r="C6" s="228" t="s">
        <v>421</v>
      </c>
    </row>
    <row r="7" spans="2:4" x14ac:dyDescent="0.3">
      <c r="D7" t="s">
        <v>422</v>
      </c>
    </row>
    <row r="8" spans="2:4" x14ac:dyDescent="0.3">
      <c r="D8" t="s">
        <v>423</v>
      </c>
    </row>
    <row r="10" spans="2:4" s="229" customFormat="1" ht="21" x14ac:dyDescent="0.4">
      <c r="B10" s="228">
        <v>2</v>
      </c>
      <c r="C10" s="228" t="s">
        <v>264</v>
      </c>
    </row>
    <row r="11" spans="2:4" x14ac:dyDescent="0.3">
      <c r="D11" t="s">
        <v>437</v>
      </c>
    </row>
    <row r="12" spans="2:4" x14ac:dyDescent="0.3">
      <c r="D12" t="s">
        <v>438</v>
      </c>
    </row>
    <row r="14" spans="2:4" s="229" customFormat="1" ht="21" x14ac:dyDescent="0.4">
      <c r="B14" s="228">
        <v>3</v>
      </c>
      <c r="C14" s="228" t="s">
        <v>265</v>
      </c>
    </row>
    <row r="15" spans="2:4" x14ac:dyDescent="0.3">
      <c r="D15" t="s">
        <v>439</v>
      </c>
    </row>
    <row r="17" spans="2:4" s="229" customFormat="1" ht="21" x14ac:dyDescent="0.4">
      <c r="B17" s="228">
        <v>4</v>
      </c>
      <c r="C17" s="228" t="s">
        <v>266</v>
      </c>
    </row>
    <row r="18" spans="2:4" x14ac:dyDescent="0.3">
      <c r="D18" t="s">
        <v>267</v>
      </c>
    </row>
    <row r="19" spans="2:4" x14ac:dyDescent="0.3">
      <c r="D19" t="s">
        <v>268</v>
      </c>
    </row>
    <row r="20" spans="2:4" x14ac:dyDescent="0.3">
      <c r="D20" t="s">
        <v>269</v>
      </c>
    </row>
    <row r="22" spans="2:4" s="229" customFormat="1" ht="21" x14ac:dyDescent="0.4">
      <c r="B22" s="228">
        <v>5</v>
      </c>
      <c r="C22" s="228" t="s">
        <v>270</v>
      </c>
    </row>
    <row r="23" spans="2:4" x14ac:dyDescent="0.3">
      <c r="D23" t="s">
        <v>271</v>
      </c>
    </row>
    <row r="24" spans="2:4" x14ac:dyDescent="0.3">
      <c r="D24" t="s">
        <v>440</v>
      </c>
    </row>
    <row r="25" spans="2:4" x14ac:dyDescent="0.3">
      <c r="D25" t="s">
        <v>272</v>
      </c>
    </row>
    <row r="27" spans="2:4" s="229" customFormat="1" ht="21" x14ac:dyDescent="0.4">
      <c r="B27" s="228">
        <v>6</v>
      </c>
      <c r="C27" s="228" t="s">
        <v>273</v>
      </c>
    </row>
    <row r="28" spans="2:4" x14ac:dyDescent="0.3">
      <c r="D28" t="s">
        <v>274</v>
      </c>
    </row>
    <row r="30" spans="2:4" s="229" customFormat="1" ht="21" x14ac:dyDescent="0.4">
      <c r="B30" s="228">
        <v>7</v>
      </c>
      <c r="C30" s="228" t="s">
        <v>277</v>
      </c>
    </row>
    <row r="31" spans="2:4" x14ac:dyDescent="0.3">
      <c r="D31" t="s">
        <v>278</v>
      </c>
    </row>
    <row r="33" spans="2:9" s="229" customFormat="1" ht="21" x14ac:dyDescent="0.4">
      <c r="B33" s="228">
        <v>8</v>
      </c>
      <c r="C33" s="228" t="s">
        <v>282</v>
      </c>
    </row>
    <row r="34" spans="2:9" x14ac:dyDescent="0.3">
      <c r="D34" t="s">
        <v>283</v>
      </c>
    </row>
    <row r="35" spans="2:9" x14ac:dyDescent="0.3">
      <c r="D35" t="s">
        <v>284</v>
      </c>
    </row>
    <row r="37" spans="2:9" s="229" customFormat="1" ht="21" x14ac:dyDescent="0.4">
      <c r="B37" s="228">
        <v>9</v>
      </c>
      <c r="C37" s="228" t="s">
        <v>279</v>
      </c>
    </row>
    <row r="38" spans="2:9" x14ac:dyDescent="0.3">
      <c r="D38" t="s">
        <v>280</v>
      </c>
    </row>
    <row r="39" spans="2:9" x14ac:dyDescent="0.3">
      <c r="F39" s="220" t="s">
        <v>281</v>
      </c>
      <c r="G39" t="s">
        <v>286</v>
      </c>
    </row>
    <row r="40" spans="2:9" x14ac:dyDescent="0.3">
      <c r="F40" s="220" t="s">
        <v>285</v>
      </c>
      <c r="G40" t="s">
        <v>287</v>
      </c>
    </row>
    <row r="41" spans="2:9" x14ac:dyDescent="0.3">
      <c r="F41" s="220" t="s">
        <v>288</v>
      </c>
      <c r="G41" t="s">
        <v>289</v>
      </c>
    </row>
    <row r="42" spans="2:9" x14ac:dyDescent="0.3">
      <c r="F42" s="220" t="s">
        <v>290</v>
      </c>
      <c r="G42" t="s">
        <v>291</v>
      </c>
    </row>
    <row r="43" spans="2:9" x14ac:dyDescent="0.3">
      <c r="G43" s="220" t="s">
        <v>292</v>
      </c>
      <c r="H43" t="s">
        <v>294</v>
      </c>
    </row>
    <row r="44" spans="2:9" x14ac:dyDescent="0.3">
      <c r="G44" s="220" t="s">
        <v>293</v>
      </c>
      <c r="H44" t="s">
        <v>295</v>
      </c>
    </row>
    <row r="45" spans="2:9" x14ac:dyDescent="0.3">
      <c r="G45" s="1" t="s">
        <v>296</v>
      </c>
      <c r="H45" t="s">
        <v>297</v>
      </c>
    </row>
    <row r="46" spans="2:9" x14ac:dyDescent="0.3">
      <c r="I46" t="s">
        <v>298</v>
      </c>
    </row>
    <row r="47" spans="2:9" x14ac:dyDescent="0.3">
      <c r="G47" s="220" t="s">
        <v>299</v>
      </c>
      <c r="H47" t="s">
        <v>300</v>
      </c>
    </row>
    <row r="48" spans="2:9" x14ac:dyDescent="0.3">
      <c r="I48" t="s">
        <v>301</v>
      </c>
    </row>
    <row r="49" spans="2:20" x14ac:dyDescent="0.3">
      <c r="G49" s="220" t="s">
        <v>302</v>
      </c>
      <c r="H49" t="s">
        <v>303</v>
      </c>
    </row>
    <row r="50" spans="2:20" x14ac:dyDescent="0.3">
      <c r="D50" s="344" t="s">
        <v>446</v>
      </c>
      <c r="E50" s="344"/>
      <c r="F50" s="344"/>
      <c r="G50" s="344"/>
      <c r="H50" t="s">
        <v>447</v>
      </c>
    </row>
    <row r="51" spans="2:20" x14ac:dyDescent="0.3">
      <c r="D51" s="344"/>
      <c r="E51" s="344"/>
      <c r="F51" s="344"/>
      <c r="G51" s="344"/>
    </row>
    <row r="52" spans="2:20" x14ac:dyDescent="0.3">
      <c r="D52" s="344"/>
      <c r="E52" s="344"/>
      <c r="F52" s="344"/>
      <c r="G52" s="344"/>
    </row>
    <row r="54" spans="2:20" s="229" customFormat="1" ht="21" x14ac:dyDescent="0.4">
      <c r="B54" s="228">
        <v>10</v>
      </c>
      <c r="C54" s="228" t="s">
        <v>304</v>
      </c>
    </row>
    <row r="55" spans="2:20" x14ac:dyDescent="0.3">
      <c r="D55" t="s">
        <v>305</v>
      </c>
    </row>
    <row r="56" spans="2:20" x14ac:dyDescent="0.3">
      <c r="D56" t="s">
        <v>306</v>
      </c>
    </row>
    <row r="57" spans="2:20" x14ac:dyDescent="0.3">
      <c r="F57" s="220" t="s">
        <v>307</v>
      </c>
      <c r="G57" t="s">
        <v>308</v>
      </c>
    </row>
    <row r="58" spans="2:20" x14ac:dyDescent="0.3">
      <c r="H58" t="s">
        <v>309</v>
      </c>
    </row>
    <row r="59" spans="2:20" x14ac:dyDescent="0.3">
      <c r="I59" t="s">
        <v>311</v>
      </c>
      <c r="N59" t="s">
        <v>310</v>
      </c>
    </row>
    <row r="60" spans="2:20" x14ac:dyDescent="0.3">
      <c r="I60" t="s">
        <v>312</v>
      </c>
      <c r="N60" t="s">
        <v>313</v>
      </c>
      <c r="T60" t="s">
        <v>321</v>
      </c>
    </row>
    <row r="61" spans="2:20" x14ac:dyDescent="0.3">
      <c r="I61" t="s">
        <v>314</v>
      </c>
      <c r="N61" t="s">
        <v>315</v>
      </c>
      <c r="T61" t="s">
        <v>321</v>
      </c>
    </row>
    <row r="62" spans="2:20" x14ac:dyDescent="0.3">
      <c r="N62" t="s">
        <v>316</v>
      </c>
    </row>
    <row r="63" spans="2:20" x14ac:dyDescent="0.3">
      <c r="F63" s="220" t="s">
        <v>317</v>
      </c>
      <c r="G63" t="s">
        <v>318</v>
      </c>
    </row>
    <row r="64" spans="2:20" x14ac:dyDescent="0.3">
      <c r="F64" s="220" t="s">
        <v>322</v>
      </c>
      <c r="G64" t="s">
        <v>323</v>
      </c>
    </row>
    <row r="65" spans="2:30" x14ac:dyDescent="0.3">
      <c r="H65" t="s">
        <v>324</v>
      </c>
    </row>
    <row r="66" spans="2:30" x14ac:dyDescent="0.3">
      <c r="I66" t="s">
        <v>325</v>
      </c>
    </row>
    <row r="67" spans="2:30" x14ac:dyDescent="0.3">
      <c r="G67" t="s">
        <v>326</v>
      </c>
    </row>
    <row r="68" spans="2:30" x14ac:dyDescent="0.3">
      <c r="F68" s="220" t="s">
        <v>319</v>
      </c>
      <c r="G68" t="s">
        <v>320</v>
      </c>
      <c r="AD68" t="s">
        <v>321</v>
      </c>
    </row>
    <row r="69" spans="2:30" x14ac:dyDescent="0.3">
      <c r="H69" t="s">
        <v>342</v>
      </c>
    </row>
    <row r="71" spans="2:30" s="229" customFormat="1" ht="21" x14ac:dyDescent="0.4">
      <c r="B71" s="228">
        <v>11</v>
      </c>
      <c r="C71" s="228" t="s">
        <v>327</v>
      </c>
    </row>
    <row r="72" spans="2:30" x14ac:dyDescent="0.3">
      <c r="D72" t="s">
        <v>328</v>
      </c>
    </row>
    <row r="73" spans="2:30" x14ac:dyDescent="0.3">
      <c r="D73" t="s">
        <v>329</v>
      </c>
    </row>
    <row r="74" spans="2:30" x14ac:dyDescent="0.3">
      <c r="D74" t="s">
        <v>330</v>
      </c>
    </row>
    <row r="76" spans="2:30" s="229" customFormat="1" ht="21" x14ac:dyDescent="0.4">
      <c r="B76" s="228">
        <v>12</v>
      </c>
      <c r="C76" s="228" t="s">
        <v>331</v>
      </c>
    </row>
    <row r="77" spans="2:30" x14ac:dyDescent="0.3">
      <c r="D77" t="s">
        <v>332</v>
      </c>
    </row>
    <row r="78" spans="2:30" x14ac:dyDescent="0.3">
      <c r="D78" t="s">
        <v>333</v>
      </c>
    </row>
    <row r="79" spans="2:30" x14ac:dyDescent="0.3">
      <c r="E79" s="220" t="s">
        <v>334</v>
      </c>
      <c r="F79" t="s">
        <v>338</v>
      </c>
    </row>
    <row r="80" spans="2:30" x14ac:dyDescent="0.3">
      <c r="G80" t="s">
        <v>344</v>
      </c>
    </row>
    <row r="81" spans="2:7" x14ac:dyDescent="0.3">
      <c r="G81" t="s">
        <v>339</v>
      </c>
    </row>
    <row r="82" spans="2:7" x14ac:dyDescent="0.3">
      <c r="E82" s="220" t="s">
        <v>340</v>
      </c>
      <c r="F82" t="s">
        <v>341</v>
      </c>
    </row>
    <row r="83" spans="2:7" x14ac:dyDescent="0.3">
      <c r="G83" t="s">
        <v>343</v>
      </c>
    </row>
    <row r="85" spans="2:7" s="229" customFormat="1" ht="21" x14ac:dyDescent="0.4">
      <c r="B85" s="228">
        <v>13</v>
      </c>
      <c r="C85" s="228" t="s">
        <v>345</v>
      </c>
    </row>
    <row r="86" spans="2:7" x14ac:dyDescent="0.3">
      <c r="D86" t="s">
        <v>346</v>
      </c>
    </row>
    <row r="87" spans="2:7" x14ac:dyDescent="0.3">
      <c r="E87" s="220" t="s">
        <v>347</v>
      </c>
      <c r="F87" t="s">
        <v>350</v>
      </c>
    </row>
    <row r="88" spans="2:7" x14ac:dyDescent="0.3">
      <c r="E88" s="220"/>
      <c r="F88" t="s">
        <v>351</v>
      </c>
    </row>
    <row r="89" spans="2:7" x14ac:dyDescent="0.3">
      <c r="E89" s="220"/>
      <c r="F89" t="s">
        <v>352</v>
      </c>
    </row>
    <row r="90" spans="2:7" x14ac:dyDescent="0.3">
      <c r="E90" s="220"/>
      <c r="F90" t="s">
        <v>353</v>
      </c>
    </row>
    <row r="91" spans="2:7" x14ac:dyDescent="0.3">
      <c r="E91" s="220"/>
      <c r="F91" t="s">
        <v>354</v>
      </c>
    </row>
    <row r="92" spans="2:7" x14ac:dyDescent="0.3">
      <c r="E92" s="220" t="s">
        <v>348</v>
      </c>
      <c r="F92" t="s">
        <v>355</v>
      </c>
    </row>
    <row r="93" spans="2:7" x14ac:dyDescent="0.3">
      <c r="E93" s="220"/>
      <c r="F93" t="s">
        <v>356</v>
      </c>
    </row>
    <row r="94" spans="2:7" x14ac:dyDescent="0.3">
      <c r="E94" s="220" t="s">
        <v>349</v>
      </c>
      <c r="F94" t="s">
        <v>357</v>
      </c>
    </row>
    <row r="96" spans="2:7" s="229" customFormat="1" ht="21" x14ac:dyDescent="0.4">
      <c r="B96" s="228">
        <v>14</v>
      </c>
      <c r="C96" s="228" t="s">
        <v>417</v>
      </c>
    </row>
    <row r="97" spans="2:6" x14ac:dyDescent="0.3">
      <c r="D97" t="s">
        <v>358</v>
      </c>
    </row>
    <row r="98" spans="2:6" x14ac:dyDescent="0.3">
      <c r="E98" s="220" t="s">
        <v>359</v>
      </c>
      <c r="F98" t="s">
        <v>366</v>
      </c>
    </row>
    <row r="99" spans="2:6" x14ac:dyDescent="0.3">
      <c r="E99" s="220" t="s">
        <v>360</v>
      </c>
      <c r="F99" t="s">
        <v>367</v>
      </c>
    </row>
    <row r="100" spans="2:6" x14ac:dyDescent="0.3">
      <c r="E100" s="220" t="s">
        <v>361</v>
      </c>
      <c r="F100" t="s">
        <v>365</v>
      </c>
    </row>
    <row r="101" spans="2:6" x14ac:dyDescent="0.3">
      <c r="E101" s="220" t="s">
        <v>362</v>
      </c>
      <c r="F101" t="s">
        <v>364</v>
      </c>
    </row>
    <row r="102" spans="2:6" x14ac:dyDescent="0.3">
      <c r="E102" s="220" t="s">
        <v>363</v>
      </c>
      <c r="F102" t="s">
        <v>368</v>
      </c>
    </row>
    <row r="104" spans="2:6" s="229" customFormat="1" ht="21" x14ac:dyDescent="0.4">
      <c r="B104" s="228">
        <v>15</v>
      </c>
      <c r="C104" s="228" t="s">
        <v>335</v>
      </c>
    </row>
    <row r="105" spans="2:6" x14ac:dyDescent="0.3">
      <c r="D105" t="s">
        <v>336</v>
      </c>
    </row>
    <row r="106" spans="2:6" x14ac:dyDescent="0.3">
      <c r="D106" t="s">
        <v>337</v>
      </c>
    </row>
    <row r="108" spans="2:6" s="229" customFormat="1" ht="21" x14ac:dyDescent="0.4">
      <c r="B108" s="228">
        <v>16</v>
      </c>
      <c r="C108" s="228" t="s">
        <v>369</v>
      </c>
    </row>
    <row r="109" spans="2:6" x14ac:dyDescent="0.3">
      <c r="D109" t="s">
        <v>370</v>
      </c>
    </row>
    <row r="110" spans="2:6" x14ac:dyDescent="0.3">
      <c r="D110" t="s">
        <v>371</v>
      </c>
    </row>
    <row r="111" spans="2:6" x14ac:dyDescent="0.3">
      <c r="D111" t="s">
        <v>372</v>
      </c>
    </row>
    <row r="114" spans="2:6" ht="18" x14ac:dyDescent="0.35">
      <c r="B114" s="233" t="s">
        <v>410</v>
      </c>
    </row>
    <row r="116" spans="2:6" s="229" customFormat="1" ht="21" x14ac:dyDescent="0.4">
      <c r="B116" s="227">
        <v>17</v>
      </c>
      <c r="C116" s="227" t="s">
        <v>389</v>
      </c>
    </row>
    <row r="117" spans="2:6" x14ac:dyDescent="0.3">
      <c r="D117" t="s">
        <v>396</v>
      </c>
    </row>
    <row r="118" spans="2:6" x14ac:dyDescent="0.3">
      <c r="E118" t="s">
        <v>397</v>
      </c>
    </row>
    <row r="119" spans="2:6" x14ac:dyDescent="0.3">
      <c r="E119" t="s">
        <v>398</v>
      </c>
    </row>
    <row r="120" spans="2:6" x14ac:dyDescent="0.3">
      <c r="E120" t="s">
        <v>400</v>
      </c>
    </row>
    <row r="121" spans="2:6" s="231" customFormat="1" x14ac:dyDescent="0.3">
      <c r="F121" s="232" t="s">
        <v>399</v>
      </c>
    </row>
    <row r="122" spans="2:6" s="231" customFormat="1" x14ac:dyDescent="0.3">
      <c r="F122" s="232"/>
    </row>
    <row r="123" spans="2:6" s="231" customFormat="1" x14ac:dyDescent="0.3">
      <c r="E123" s="232" t="s">
        <v>401</v>
      </c>
      <c r="F123" s="232"/>
    </row>
    <row r="124" spans="2:6" s="231" customFormat="1" x14ac:dyDescent="0.3">
      <c r="F124" s="232" t="s">
        <v>402</v>
      </c>
    </row>
    <row r="125" spans="2:6" s="231" customFormat="1" x14ac:dyDescent="0.3">
      <c r="F125" s="232" t="s">
        <v>403</v>
      </c>
    </row>
    <row r="126" spans="2:6" x14ac:dyDescent="0.3">
      <c r="F126" s="232" t="s">
        <v>404</v>
      </c>
    </row>
    <row r="127" spans="2:6" x14ac:dyDescent="0.3">
      <c r="F127" s="232"/>
    </row>
    <row r="128" spans="2:6" s="229" customFormat="1" ht="21" x14ac:dyDescent="0.4">
      <c r="B128" s="227">
        <v>18</v>
      </c>
      <c r="C128" s="227" t="s">
        <v>390</v>
      </c>
    </row>
    <row r="129" spans="2:4" x14ac:dyDescent="0.3">
      <c r="D129" t="s">
        <v>405</v>
      </c>
    </row>
    <row r="130" spans="2:4" x14ac:dyDescent="0.3">
      <c r="D130" t="s">
        <v>406</v>
      </c>
    </row>
    <row r="131" spans="2:4" x14ac:dyDescent="0.3">
      <c r="D131" t="s">
        <v>407</v>
      </c>
    </row>
    <row r="132" spans="2:4" x14ac:dyDescent="0.3">
      <c r="D132" t="s">
        <v>408</v>
      </c>
    </row>
    <row r="134" spans="2:4" s="229" customFormat="1" ht="21" x14ac:dyDescent="0.4">
      <c r="B134" s="227">
        <v>19</v>
      </c>
      <c r="C134" s="227" t="s">
        <v>392</v>
      </c>
    </row>
    <row r="135" spans="2:4" x14ac:dyDescent="0.3">
      <c r="D135" t="s">
        <v>393</v>
      </c>
    </row>
    <row r="137" spans="2:4" s="229" customFormat="1" ht="21" x14ac:dyDescent="0.4">
      <c r="B137" s="227">
        <v>20</v>
      </c>
      <c r="C137" s="227" t="s">
        <v>394</v>
      </c>
    </row>
    <row r="138" spans="2:4" x14ac:dyDescent="0.3">
      <c r="D138" t="s">
        <v>395</v>
      </c>
    </row>
    <row r="140" spans="2:4" s="229" customFormat="1" ht="21" x14ac:dyDescent="0.4">
      <c r="B140" s="227">
        <v>21</v>
      </c>
      <c r="C140" s="227" t="s">
        <v>379</v>
      </c>
    </row>
    <row r="141" spans="2:4" x14ac:dyDescent="0.3">
      <c r="D141" t="s">
        <v>373</v>
      </c>
    </row>
    <row r="142" spans="2:4" x14ac:dyDescent="0.3">
      <c r="D142" t="s">
        <v>374</v>
      </c>
    </row>
    <row r="144" spans="2:4" s="229" customFormat="1" ht="21" x14ac:dyDescent="0.4">
      <c r="B144" s="227">
        <v>22</v>
      </c>
      <c r="C144" s="227" t="s">
        <v>380</v>
      </c>
    </row>
    <row r="145" spans="2:4" x14ac:dyDescent="0.3">
      <c r="D145" t="s">
        <v>375</v>
      </c>
    </row>
    <row r="146" spans="2:4" x14ac:dyDescent="0.3">
      <c r="D146" t="s">
        <v>376</v>
      </c>
    </row>
    <row r="147" spans="2:4" x14ac:dyDescent="0.3">
      <c r="D147" t="s">
        <v>377</v>
      </c>
    </row>
    <row r="148" spans="2:4" x14ac:dyDescent="0.3">
      <c r="D148" t="s">
        <v>378</v>
      </c>
    </row>
    <row r="151" spans="2:4" ht="18" x14ac:dyDescent="0.35">
      <c r="B151" s="233" t="s">
        <v>411</v>
      </c>
    </row>
    <row r="153" spans="2:4" s="229" customFormat="1" ht="21" x14ac:dyDescent="0.4">
      <c r="B153" s="230">
        <v>23</v>
      </c>
      <c r="C153" s="230" t="s">
        <v>420</v>
      </c>
    </row>
    <row r="154" spans="2:4" x14ac:dyDescent="0.3">
      <c r="D154" t="s">
        <v>381</v>
      </c>
    </row>
    <row r="155" spans="2:4" x14ac:dyDescent="0.3">
      <c r="D155" t="s">
        <v>382</v>
      </c>
    </row>
    <row r="156" spans="2:4" x14ac:dyDescent="0.3">
      <c r="D156" t="s">
        <v>383</v>
      </c>
    </row>
    <row r="157" spans="2:4" x14ac:dyDescent="0.3">
      <c r="D157" t="s">
        <v>384</v>
      </c>
    </row>
    <row r="159" spans="2:4" s="229" customFormat="1" ht="21" x14ac:dyDescent="0.4">
      <c r="B159" s="230">
        <v>24</v>
      </c>
      <c r="C159" s="230" t="s">
        <v>418</v>
      </c>
    </row>
    <row r="160" spans="2:4" x14ac:dyDescent="0.3">
      <c r="D160" t="s">
        <v>412</v>
      </c>
    </row>
    <row r="161" spans="2:4" x14ac:dyDescent="0.3">
      <c r="D161" t="s">
        <v>413</v>
      </c>
    </row>
    <row r="162" spans="2:4" x14ac:dyDescent="0.3">
      <c r="D162" t="s">
        <v>414</v>
      </c>
    </row>
    <row r="163" spans="2:4" x14ac:dyDescent="0.3">
      <c r="D163" t="s">
        <v>415</v>
      </c>
    </row>
    <row r="165" spans="2:4" s="229" customFormat="1" ht="21" x14ac:dyDescent="0.4">
      <c r="B165" s="230">
        <v>25</v>
      </c>
      <c r="C165" s="230" t="s">
        <v>385</v>
      </c>
    </row>
    <row r="166" spans="2:4" x14ac:dyDescent="0.3">
      <c r="D166" t="s">
        <v>386</v>
      </c>
    </row>
    <row r="167" spans="2:4" x14ac:dyDescent="0.3">
      <c r="D167" t="s">
        <v>387</v>
      </c>
    </row>
    <row r="168" spans="2:4" x14ac:dyDescent="0.3">
      <c r="D168" t="s">
        <v>388</v>
      </c>
    </row>
    <row r="172" spans="2:4" ht="18" x14ac:dyDescent="0.35">
      <c r="B172" s="233" t="s">
        <v>416</v>
      </c>
    </row>
    <row r="174" spans="2:4" s="229" customFormat="1" ht="21" x14ac:dyDescent="0.4">
      <c r="B174" s="226">
        <v>26</v>
      </c>
      <c r="C174" s="226" t="s">
        <v>419</v>
      </c>
    </row>
    <row r="175" spans="2:4" x14ac:dyDescent="0.3">
      <c r="C175" t="s">
        <v>391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19" ma:contentTypeDescription="" ma:contentTypeScope="" ma:versionID="3b6de457559cd0436ceb29123c467a76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14d79c159d607aa21ba2c8d09858bf7e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55A3788-A2C5-49FE-A0B1-252591E114BF}">
  <ds:schemaRefs>
    <ds:schemaRef ds:uri="a1360130-ace9-4116-92dd-ec756f4e397b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97082568-3af7-4690-b0aa-7486844a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9EF3843-EEF4-4BA1-AA02-A0818997DD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Pankaj Mahur</dc:creator>
  <cp:keywords/>
  <cp:lastModifiedBy>Pankaj Mahur</cp:lastModifiedBy>
  <cp:lastPrinted>2015-06-17T10:58:29Z</cp:lastPrinted>
  <dcterms:created xsi:type="dcterms:W3CDTF">2013-10-21T05:49:27Z</dcterms:created>
  <dcterms:modified xsi:type="dcterms:W3CDTF">2021-01-27T11:41:32Z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